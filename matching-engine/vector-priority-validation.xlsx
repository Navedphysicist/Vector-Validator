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 Families" sheetId="1" state="visible" r:id="rId1"/>
    <sheet xmlns:r="http://schemas.openxmlformats.org/officeDocument/2006/relationships" name="Tiers" sheetId="2" state="visible" r:id="rId2"/>
    <sheet xmlns:r="http://schemas.openxmlformats.org/officeDocument/2006/relationships" name="Validation"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1"/>
    </font>
  </fonts>
  <fills count="6">
    <fill>
      <patternFill/>
    </fill>
    <fill>
      <patternFill patternType="gray125"/>
    </fill>
    <fill>
      <patternFill patternType="solid">
        <fgColor rgb="001F2937"/>
        <bgColor rgb="001F2937"/>
      </patternFill>
    </fill>
    <fill>
      <patternFill patternType="solid">
        <fgColor rgb="00D1FAE5"/>
        <bgColor rgb="00D1FAE5"/>
      </patternFill>
    </fill>
    <fill>
      <patternFill patternType="solid">
        <fgColor rgb="00FEF3C7"/>
        <bgColor rgb="00FEF3C7"/>
      </patternFill>
    </fill>
    <fill>
      <patternFill patternType="solid">
        <fgColor rgb="00DBEAFE"/>
        <bgColor rgb="00DBEAF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xf numFmtId="0" fontId="2" fillId="3" borderId="1" applyAlignment="1" pivotButton="0" quotePrefix="0" xfId="0">
      <alignment vertical="center" wrapText="1"/>
    </xf>
    <xf numFmtId="0" fontId="2" fillId="4" borderId="1" applyAlignment="1" pivotButton="0" quotePrefix="0" xfId="0">
      <alignment vertical="center" wrapText="1"/>
    </xf>
    <xf numFmtId="0" fontId="2"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F46E5"/>
    <outlinePr summaryBelow="1" summaryRight="1"/>
    <pageSetUpPr/>
  </sheetPr>
  <dimension ref="A1:G11"/>
  <sheetViews>
    <sheetView workbookViewId="0">
      <selection activeCell="A1" sqref="A1"/>
    </sheetView>
  </sheetViews>
  <sheetFormatPr baseColWidth="8" defaultRowHeight="15"/>
  <cols>
    <col width="4" customWidth="1" min="1" max="1"/>
    <col width="28" customWidth="1" min="2" max="2"/>
    <col width="16" customWidth="1" min="3" max="3"/>
    <col width="16" customWidth="1" min="4" max="4"/>
    <col width="16" customWidth="1" min="5" max="5"/>
    <col width="70" customWidth="1" min="6" max="6"/>
    <col width="65" customWidth="1" min="7" max="7"/>
  </cols>
  <sheetData>
    <row r="1">
      <c r="A1" s="1" t="inlineStr">
        <is>
          <t>#</t>
        </is>
      </c>
      <c r="B1" s="1" t="inlineStr">
        <is>
          <t>Role Family</t>
        </is>
      </c>
      <c r="C1" s="1" t="inlineStr">
        <is>
          <t>P1 (Default)</t>
        </is>
      </c>
      <c r="D1" s="1" t="inlineStr">
        <is>
          <t>P2 (Default)</t>
        </is>
      </c>
      <c r="E1" s="1" t="inlineStr">
        <is>
          <t>P3 (Default)</t>
        </is>
      </c>
      <c r="F1" s="1" t="inlineStr">
        <is>
          <t>Why P1 matters most</t>
        </is>
      </c>
      <c r="G1" s="1" t="inlineStr">
        <is>
          <t>Example Roles</t>
        </is>
      </c>
    </row>
    <row r="2">
      <c r="A2" s="2" t="n">
        <v>1</v>
      </c>
      <c r="B2" s="2" t="inlineStr">
        <is>
          <t>Marketing / Brand</t>
        </is>
      </c>
      <c r="C2" s="2" t="inlineStr">
        <is>
          <t>Industry</t>
        </is>
      </c>
      <c r="D2" s="2" t="inlineStr">
        <is>
          <t>Platform</t>
        </is>
      </c>
      <c r="E2" s="2" t="inlineStr">
        <is>
          <t>Model</t>
        </is>
      </c>
      <c r="F2" s="2" t="inlineStr">
        <is>
          <t>Marketers must understand the customer, product claims, and regulatory landscape of their specific industry</t>
        </is>
      </c>
      <c r="G2" s="2" t="inlineStr">
        <is>
          <t>CMO, VP Marketing, Head of Brand, Director of Growth, VP Digital Marketing, Head of Content</t>
        </is>
      </c>
    </row>
    <row r="3">
      <c r="A3" s="2" t="n">
        <v>2</v>
      </c>
      <c r="B3" s="2" t="inlineStr">
        <is>
          <t>Finance / Accounting</t>
        </is>
      </c>
      <c r="C3" s="2" t="inlineStr">
        <is>
          <t>Platform</t>
        </is>
      </c>
      <c r="D3" s="2" t="inlineStr">
        <is>
          <t>Model</t>
        </is>
      </c>
      <c r="E3" s="2" t="inlineStr">
        <is>
          <t>Industry</t>
        </is>
      </c>
      <c r="F3" s="2" t="inlineStr">
        <is>
          <t>Finance leaders need to understand how money flows — revenue recognition, unit economics, and financial operations depend on the transaction platform</t>
        </is>
      </c>
      <c r="G3" s="2" t="inlineStr">
        <is>
          <t>CFO, VP Finance, Controller, Treasurer, Head of FP&amp;A, Director of Accounting</t>
        </is>
      </c>
    </row>
    <row r="4">
      <c r="A4" s="2" t="n">
        <v>3</v>
      </c>
      <c r="B4" s="2" t="inlineStr">
        <is>
          <t>Sales / Revenue</t>
        </is>
      </c>
      <c r="C4" s="2" t="inlineStr">
        <is>
          <t>Model</t>
        </is>
      </c>
      <c r="D4" s="2" t="inlineStr">
        <is>
          <t>Industry</t>
        </is>
      </c>
      <c r="E4" s="2" t="inlineStr">
        <is>
          <t>Platform</t>
        </is>
      </c>
      <c r="F4" s="2" t="inlineStr">
        <is>
          <t>The business model defines the entire sales motion — subscription retention vs ad-hoc conversion vs marketplace growth are fundamentally different</t>
        </is>
      </c>
      <c r="G4" s="2" t="inlineStr">
        <is>
          <t>CRO, VP Sales, Head of BD, CCO, VP Partnerships, Director of Account Management</t>
        </is>
      </c>
    </row>
    <row r="5">
      <c r="A5" s="2" t="n">
        <v>4</v>
      </c>
      <c r="B5" s="2" t="inlineStr">
        <is>
          <t>Operations / General Mgmt</t>
        </is>
      </c>
      <c r="C5" s="2" t="inlineStr">
        <is>
          <t>Platform</t>
        </is>
      </c>
      <c r="D5" s="2" t="inlineStr">
        <is>
          <t>Model</t>
        </is>
      </c>
      <c r="E5" s="2" t="inlineStr">
        <is>
          <t>Industry</t>
        </is>
      </c>
      <c r="F5" s="2" t="inlineStr">
        <is>
          <t>Operations leaders manage the platform complexity — multi-unit stores, warehouses, digital fulfillment, or field services</t>
        </is>
      </c>
      <c r="G5" s="2" t="inlineStr">
        <is>
          <t>COO, President, GM, CEO, Chief of Staff, VP Operations</t>
        </is>
      </c>
    </row>
    <row r="6">
      <c r="A6" s="2" t="n">
        <v>5</v>
      </c>
      <c r="B6" s="2" t="inlineStr">
        <is>
          <t>People / HR</t>
        </is>
      </c>
      <c r="C6" s="2" t="inlineStr">
        <is>
          <t>Industry</t>
        </is>
      </c>
      <c r="D6" s="2" t="inlineStr">
        <is>
          <t>Model</t>
        </is>
      </c>
      <c r="E6" s="2" t="inlineStr">
        <is>
          <t>Platform</t>
        </is>
      </c>
      <c r="F6" s="2" t="inlineStr">
        <is>
          <t>HR needs to understand the industry talent pool — where to recruit, comp benchmarks, and culture norms differ by industry</t>
        </is>
      </c>
      <c r="G6" s="2" t="inlineStr">
        <is>
          <t>CHRO, VP People, Head of Talent, VP HR, Director of People Ops</t>
        </is>
      </c>
    </row>
    <row r="7">
      <c r="A7" s="2" t="n">
        <v>6</v>
      </c>
      <c r="B7" s="2" t="inlineStr">
        <is>
          <t>Technology / Engineering</t>
        </is>
      </c>
      <c r="C7" s="2" t="inlineStr">
        <is>
          <t>Platform</t>
        </is>
      </c>
      <c r="D7" s="2" t="inlineStr">
        <is>
          <t>Industry</t>
        </is>
      </c>
      <c r="E7" s="2" t="inlineStr">
        <is>
          <t>Model</t>
        </is>
      </c>
      <c r="F7" s="2" t="inlineStr">
        <is>
          <t>Tech leaders build and maintain the platform — DTC stack vs POS systems vs marketplace infrastructure require different expertise</t>
        </is>
      </c>
      <c r="G7" s="2" t="inlineStr">
        <is>
          <t>CTO, VP Engineering, Head of Product Engineering, Director of IT</t>
        </is>
      </c>
    </row>
    <row r="8">
      <c r="A8" s="2" t="n">
        <v>7</v>
      </c>
      <c r="B8" s="2" t="inlineStr">
        <is>
          <t>Product</t>
        </is>
      </c>
      <c r="C8" s="2" t="inlineStr">
        <is>
          <t>Platform</t>
        </is>
      </c>
      <c r="D8" s="2" t="inlineStr">
        <is>
          <t>Industry</t>
        </is>
      </c>
      <c r="E8" s="2" t="inlineStr">
        <is>
          <t>Model</t>
        </is>
      </c>
      <c r="F8" s="2" t="inlineStr">
        <is>
          <t>Product leaders shape the customer experience which is defined by the transaction platform — mobile app, physical store, or omnichannel</t>
        </is>
      </c>
      <c r="G8" s="2" t="inlineStr">
        <is>
          <t>CPO, VP Product, Head of Product, Director of Product Management</t>
        </is>
      </c>
    </row>
    <row r="9">
      <c r="A9" s="2" t="n">
        <v>8</v>
      </c>
      <c r="B9" s="2" t="inlineStr">
        <is>
          <t>Supply Chain / Logistics</t>
        </is>
      </c>
      <c r="C9" s="2" t="inlineStr">
        <is>
          <t>Model</t>
        </is>
      </c>
      <c r="D9" s="2" t="inlineStr">
        <is>
          <t>Platform</t>
        </is>
      </c>
      <c r="E9" s="2" t="inlineStr">
        <is>
          <t>Industry</t>
        </is>
      </c>
      <c r="F9" s="2" t="inlineStr">
        <is>
          <t>Business model dictates supply chain design — subscription = predictable demand, ad-hoc = variable, marketplace = no inventory</t>
        </is>
      </c>
      <c r="G9" s="2" t="inlineStr">
        <is>
          <t>VP Supply Chain, Head of Logistics, Director of Procurement, VP Manufacturing</t>
        </is>
      </c>
    </row>
    <row r="10">
      <c r="A10" s="2" t="n">
        <v>9</v>
      </c>
      <c r="B10" s="2" t="inlineStr">
        <is>
          <t>Legal / Compliance</t>
        </is>
      </c>
      <c r="C10" s="2" t="inlineStr">
        <is>
          <t>Industry</t>
        </is>
      </c>
      <c r="D10" s="2" t="inlineStr">
        <is>
          <t>Model</t>
        </is>
      </c>
      <c r="E10" s="2" t="inlineStr">
        <is>
          <t>Platform</t>
        </is>
      </c>
      <c r="F10" s="2" t="inlineStr">
        <is>
          <t>Legal/compliance landscape is heavily industry-specific — food safety vs fintech regulations vs healthcare HIPAA</t>
        </is>
      </c>
      <c r="G10" s="2" t="inlineStr">
        <is>
          <t>General Counsel, CLO, VP Legal, Head of Regulatory, Chief Compliance Officer</t>
        </is>
      </c>
    </row>
    <row r="11">
      <c r="A11" s="2" t="n">
        <v>10</v>
      </c>
      <c r="B11" s="2" t="inlineStr">
        <is>
          <t>Data / Analytics</t>
        </is>
      </c>
      <c r="C11" s="2" t="inlineStr">
        <is>
          <t>Platform</t>
        </is>
      </c>
      <c r="D11" s="2" t="inlineStr">
        <is>
          <t>Model</t>
        </is>
      </c>
      <c r="E11" s="2" t="inlineStr">
        <is>
          <t>Industry</t>
        </is>
      </c>
      <c r="F11" s="2" t="inlineStr">
        <is>
          <t>Data leaders need platform context — DTC generates different data patterns than four-wall retail or marketplace</t>
        </is>
      </c>
      <c r="G11" s="2" t="inlineStr">
        <is>
          <t>CDO, VP Data, Head of Analytics, Director of Data Science</t>
        </is>
      </c>
    </row>
  </sheetData>
  <pageMargins left="0.75" right="0.75" top="1" bottom="1" header="0.5" footer="0.5"/>
</worksheet>
</file>

<file path=xl/worksheets/sheet2.xml><?xml version="1.0" encoding="utf-8"?>
<worksheet xmlns="http://schemas.openxmlformats.org/spreadsheetml/2006/main">
  <sheetPr>
    <tabColor rgb="00059669"/>
    <outlinePr summaryBelow="1" summaryRight="1"/>
    <pageSetUpPr/>
  </sheetPr>
  <dimension ref="A1:D61"/>
  <sheetViews>
    <sheetView workbookViewId="0">
      <selection activeCell="A1" sqref="A1"/>
    </sheetView>
  </sheetViews>
  <sheetFormatPr baseColWidth="8" defaultRowHeight="15"/>
  <cols>
    <col width="22" customWidth="1" min="1" max="1"/>
    <col width="12" customWidth="1" min="2" max="2"/>
    <col width="30" customWidth="1" min="3" max="3"/>
    <col width="80" customWidth="1" min="4" max="4"/>
  </cols>
  <sheetData>
    <row r="1">
      <c r="A1" s="1" t="inlineStr">
        <is>
          <t>Vector</t>
        </is>
      </c>
      <c r="B1" s="1" t="inlineStr">
        <is>
          <t>Tier</t>
        </is>
      </c>
      <c r="C1" s="1" t="inlineStr">
        <is>
          <t>Value</t>
        </is>
      </c>
      <c r="D1" s="1" t="inlineStr">
        <is>
          <t>Description</t>
        </is>
      </c>
    </row>
    <row r="2">
      <c r="A2" s="2" t="inlineStr">
        <is>
          <t>Business Model</t>
        </is>
      </c>
      <c r="B2" s="3" t="inlineStr">
        <is>
          <t>Common</t>
        </is>
      </c>
      <c r="C2" s="2" t="inlineStr">
        <is>
          <t>Subscription</t>
        </is>
      </c>
      <c r="D2" s="2" t="inlineStr">
        <is>
          <t>Recurring revenue from regular payments</t>
        </is>
      </c>
    </row>
    <row r="3">
      <c r="A3" s="2" t="inlineStr">
        <is>
          <t>Business Model</t>
        </is>
      </c>
      <c r="B3" s="3" t="inlineStr">
        <is>
          <t>Common</t>
        </is>
      </c>
      <c r="C3" s="2" t="inlineStr">
        <is>
          <t>E-Commerce</t>
        </is>
      </c>
      <c r="D3" s="2" t="inlineStr">
        <is>
          <t>Online buying and selling</t>
        </is>
      </c>
    </row>
    <row r="4">
      <c r="A4" s="2" t="inlineStr">
        <is>
          <t>Business Model</t>
        </is>
      </c>
      <c r="B4" s="3" t="inlineStr">
        <is>
          <t>Common</t>
        </is>
      </c>
      <c r="C4" s="2" t="inlineStr">
        <is>
          <t>SaaS</t>
        </is>
      </c>
      <c r="D4" s="2" t="inlineStr">
        <is>
          <t>Software as a service, recurring license</t>
        </is>
      </c>
    </row>
    <row r="5">
      <c r="A5" s="2" t="inlineStr">
        <is>
          <t>Business Model</t>
        </is>
      </c>
      <c r="B5" s="3" t="inlineStr">
        <is>
          <t>Common</t>
        </is>
      </c>
      <c r="C5" s="2" t="inlineStr">
        <is>
          <t>Retail</t>
        </is>
      </c>
      <c r="D5" s="2" t="inlineStr">
        <is>
          <t>Physical store sales</t>
        </is>
      </c>
    </row>
    <row r="6">
      <c r="A6" s="2" t="inlineStr">
        <is>
          <t>Business Model</t>
        </is>
      </c>
      <c r="B6" s="3" t="inlineStr">
        <is>
          <t>Common</t>
        </is>
      </c>
      <c r="C6" s="2" t="inlineStr">
        <is>
          <t>Wholesale</t>
        </is>
      </c>
      <c r="D6" s="2" t="inlineStr">
        <is>
          <t>Bulk sales to retailers/distributors</t>
        </is>
      </c>
    </row>
    <row r="7">
      <c r="A7" s="2" t="inlineStr">
        <is>
          <t>Business Model</t>
        </is>
      </c>
      <c r="B7" s="3" t="inlineStr">
        <is>
          <t>Common</t>
        </is>
      </c>
      <c r="C7" s="2" t="inlineStr">
        <is>
          <t>Ad Hoc Commerce</t>
        </is>
      </c>
      <c r="D7" s="2" t="inlineStr">
        <is>
          <t>Walk-in, one-time transactions (QSR, coffee)</t>
        </is>
      </c>
    </row>
    <row r="8">
      <c r="A8" s="2" t="inlineStr">
        <is>
          <t>Business Model</t>
        </is>
      </c>
      <c r="B8" s="3" t="inlineStr">
        <is>
          <t>Common</t>
        </is>
      </c>
      <c r="C8" s="2" t="inlineStr">
        <is>
          <t>Franchise</t>
        </is>
      </c>
      <c r="D8" s="2" t="inlineStr">
        <is>
          <t>License-based expansion through operators</t>
        </is>
      </c>
    </row>
    <row r="9">
      <c r="A9" s="2" t="inlineStr">
        <is>
          <t>Business Model</t>
        </is>
      </c>
      <c r="B9" s="3" t="inlineStr">
        <is>
          <t>Common</t>
        </is>
      </c>
      <c r="C9" s="2" t="inlineStr">
        <is>
          <t>Marketplace</t>
        </is>
      </c>
      <c r="D9" s="2" t="inlineStr">
        <is>
          <t>Platform connecting buyers and sellers</t>
        </is>
      </c>
    </row>
    <row r="10">
      <c r="A10" s="2" t="inlineStr">
        <is>
          <t>Business Model</t>
        </is>
      </c>
      <c r="B10" s="3" t="inlineStr">
        <is>
          <t>Common</t>
        </is>
      </c>
      <c r="C10" s="2" t="inlineStr">
        <is>
          <t>Revenue Share</t>
        </is>
      </c>
      <c r="D10" s="2" t="inlineStr">
        <is>
          <t>Split revenue with partners</t>
        </is>
      </c>
    </row>
    <row r="11">
      <c r="A11" s="2" t="inlineStr">
        <is>
          <t>Business Model</t>
        </is>
      </c>
      <c r="B11" s="3" t="inlineStr">
        <is>
          <t>Common</t>
        </is>
      </c>
      <c r="C11" s="2" t="inlineStr">
        <is>
          <t>Freemium</t>
        </is>
      </c>
      <c r="D11" s="2" t="inlineStr">
        <is>
          <t>Free tier with paid upgrades</t>
        </is>
      </c>
    </row>
    <row r="12">
      <c r="A12" s="2" t="inlineStr">
        <is>
          <t>Business Model</t>
        </is>
      </c>
      <c r="B12" s="3" t="inlineStr">
        <is>
          <t>Common</t>
        </is>
      </c>
      <c r="C12" s="2" t="inlineStr">
        <is>
          <t>Membership</t>
        </is>
      </c>
      <c r="D12" s="2" t="inlineStr">
        <is>
          <t>Fee-based access to services</t>
        </is>
      </c>
    </row>
    <row r="13">
      <c r="A13" s="2" t="inlineStr">
        <is>
          <t>Business Model</t>
        </is>
      </c>
      <c r="B13" s="3" t="inlineStr">
        <is>
          <t>Common</t>
        </is>
      </c>
      <c r="C13" s="2" t="inlineStr">
        <is>
          <t>Direct Sales</t>
        </is>
      </c>
      <c r="D13" s="2" t="inlineStr">
        <is>
          <t>Selling directly without intermediary</t>
        </is>
      </c>
    </row>
    <row r="14">
      <c r="A14" s="2" t="inlineStr">
        <is>
          <t>Business Model</t>
        </is>
      </c>
      <c r="B14" s="4" t="inlineStr">
        <is>
          <t>Unique</t>
        </is>
      </c>
      <c r="C14" s="2" t="inlineStr">
        <is>
          <t>POC (% Completion)</t>
        </is>
      </c>
      <c r="D14" s="2" t="inlineStr">
        <is>
          <t>Partial payment on long-running contracts — construction, restoration, large consulting</t>
        </is>
      </c>
    </row>
    <row r="15">
      <c r="A15" s="2" t="inlineStr">
        <is>
          <t>Business Model</t>
        </is>
      </c>
      <c r="B15" s="4" t="inlineStr">
        <is>
          <t>Unique</t>
        </is>
      </c>
      <c r="C15" s="2" t="inlineStr">
        <is>
          <t>Value-based Care</t>
        </is>
      </c>
      <c r="D15" s="2" t="inlineStr">
        <is>
          <t>Healthcare reimbursement tied to patient outcomes, not volume of services</t>
        </is>
      </c>
    </row>
    <row r="16">
      <c r="A16" s="2" t="inlineStr">
        <is>
          <t>Business Model</t>
        </is>
      </c>
      <c r="B16" s="4" t="inlineStr">
        <is>
          <t>Unique</t>
        </is>
      </c>
      <c r="C16" s="2" t="inlineStr">
        <is>
          <t>iBuying</t>
        </is>
      </c>
      <c r="D16" s="2" t="inlineStr">
        <is>
          <t>Company buys inventory (homes, cars) and resells directly — heavy balance sheet risk</t>
        </is>
      </c>
    </row>
    <row r="17">
      <c r="A17" s="2" t="inlineStr">
        <is>
          <t>Business Model</t>
        </is>
      </c>
      <c r="B17" s="4" t="inlineStr">
        <is>
          <t>Unique</t>
        </is>
      </c>
      <c r="C17" s="2" t="inlineStr">
        <is>
          <t>Rental / Resale</t>
        </is>
      </c>
      <c r="D17" s="2" t="inlineStr">
        <is>
          <t>Asset ownership with depreciation, utilization rates, and reverse logistics</t>
        </is>
      </c>
    </row>
    <row r="18">
      <c r="A18" s="2" t="inlineStr">
        <is>
          <t>Business Model</t>
        </is>
      </c>
      <c r="B18" s="4" t="inlineStr">
        <is>
          <t>Unique</t>
        </is>
      </c>
      <c r="C18" s="2" t="inlineStr">
        <is>
          <t>BNPL</t>
        </is>
      </c>
      <c r="D18" s="2" t="inlineStr">
        <is>
          <t>Buy Now Pay Later — deferred payment with merchant-funded consumer credit</t>
        </is>
      </c>
    </row>
    <row r="19">
      <c r="A19" s="2" t="inlineStr">
        <is>
          <t>Business Model</t>
        </is>
      </c>
      <c r="B19" s="4" t="inlineStr">
        <is>
          <t>Unique</t>
        </is>
      </c>
      <c r="C19" s="2" t="inlineStr">
        <is>
          <t>Brokerage</t>
        </is>
      </c>
      <c r="D19" s="2" t="inlineStr">
        <is>
          <t>Commission on transactions without owning inventory</t>
        </is>
      </c>
    </row>
    <row r="20">
      <c r="A20" s="2" t="inlineStr">
        <is>
          <t>Business Model</t>
        </is>
      </c>
      <c r="B20" s="4" t="inlineStr">
        <is>
          <t>Unique</t>
        </is>
      </c>
      <c r="C20" s="2" t="inlineStr">
        <is>
          <t>Concession / Licensing</t>
        </is>
      </c>
      <c r="D20" s="2" t="inlineStr">
        <is>
          <t>Revenue from IP rights or territorial licenses</t>
        </is>
      </c>
    </row>
    <row r="21">
      <c r="A21" s="2" t="inlineStr">
        <is>
          <t>Business Model</t>
        </is>
      </c>
      <c r="B21" s="4" t="inlineStr">
        <is>
          <t>Unique</t>
        </is>
      </c>
      <c r="C21" s="2" t="inlineStr">
        <is>
          <t>Revenue Share (embedded)</t>
        </is>
      </c>
      <c r="D21" s="2" t="inlineStr">
        <is>
          <t>Monetizing third-party activity running inside your platform</t>
        </is>
      </c>
    </row>
    <row r="22">
      <c r="A22" s="2" t="inlineStr">
        <is>
          <t>Industry</t>
        </is>
      </c>
      <c r="B22" s="3" t="inlineStr">
        <is>
          <t>Common</t>
        </is>
      </c>
      <c r="C22" s="2" t="inlineStr">
        <is>
          <t>Food &amp; Beverage</t>
        </is>
      </c>
      <c r="D22" s="2" t="inlineStr">
        <is>
          <t>CPG food, beverages, restaurants</t>
        </is>
      </c>
    </row>
    <row r="23">
      <c r="A23" s="2" t="inlineStr">
        <is>
          <t>Industry</t>
        </is>
      </c>
      <c r="B23" s="3" t="inlineStr">
        <is>
          <t>Common</t>
        </is>
      </c>
      <c r="C23" s="2" t="inlineStr">
        <is>
          <t>Fashion / Apparel</t>
        </is>
      </c>
      <c r="D23" s="2" t="inlineStr">
        <is>
          <t>Clothing, footwear, accessories</t>
        </is>
      </c>
    </row>
    <row r="24">
      <c r="A24" s="2" t="inlineStr">
        <is>
          <t>Industry</t>
        </is>
      </c>
      <c r="B24" s="3" t="inlineStr">
        <is>
          <t>Common</t>
        </is>
      </c>
      <c r="C24" s="2" t="inlineStr">
        <is>
          <t>Technology</t>
        </is>
      </c>
      <c r="D24" s="2" t="inlineStr">
        <is>
          <t>Software, hardware, IT services</t>
        </is>
      </c>
    </row>
    <row r="25">
      <c r="A25" s="2" t="inlineStr">
        <is>
          <t>Industry</t>
        </is>
      </c>
      <c r="B25" s="3" t="inlineStr">
        <is>
          <t>Common</t>
        </is>
      </c>
      <c r="C25" s="2" t="inlineStr">
        <is>
          <t>Healthcare</t>
        </is>
      </c>
      <c r="D25" s="2" t="inlineStr">
        <is>
          <t>Hospitals, pharma, medical devices</t>
        </is>
      </c>
    </row>
    <row r="26">
      <c r="A26" s="2" t="inlineStr">
        <is>
          <t>Industry</t>
        </is>
      </c>
      <c r="B26" s="3" t="inlineStr">
        <is>
          <t>Common</t>
        </is>
      </c>
      <c r="C26" s="2" t="inlineStr">
        <is>
          <t>Financial Services</t>
        </is>
      </c>
      <c r="D26" s="2" t="inlineStr">
        <is>
          <t>Banking, insurance, investment</t>
        </is>
      </c>
    </row>
    <row r="27">
      <c r="A27" s="2" t="inlineStr">
        <is>
          <t>Industry</t>
        </is>
      </c>
      <c r="B27" s="3" t="inlineStr">
        <is>
          <t>Common</t>
        </is>
      </c>
      <c r="C27" s="2" t="inlineStr">
        <is>
          <t>Pet Food / Pet Products</t>
        </is>
      </c>
      <c r="D27" s="2" t="inlineStr">
        <is>
          <t>Pet nutrition, supplies, services</t>
        </is>
      </c>
    </row>
    <row r="28">
      <c r="A28" s="2" t="inlineStr">
        <is>
          <t>Industry</t>
        </is>
      </c>
      <c r="B28" s="3" t="inlineStr">
        <is>
          <t>Common</t>
        </is>
      </c>
      <c r="C28" s="2" t="inlineStr">
        <is>
          <t>Activewear</t>
        </is>
      </c>
      <c r="D28" s="2" t="inlineStr">
        <is>
          <t>Athletic and performance clothing</t>
        </is>
      </c>
    </row>
    <row r="29">
      <c r="A29" s="2" t="inlineStr">
        <is>
          <t>Industry</t>
        </is>
      </c>
      <c r="B29" s="3" t="inlineStr">
        <is>
          <t>Common</t>
        </is>
      </c>
      <c r="C29" s="2" t="inlineStr">
        <is>
          <t>EdTech</t>
        </is>
      </c>
      <c r="D29" s="2" t="inlineStr">
        <is>
          <t>Education technology and platforms</t>
        </is>
      </c>
    </row>
    <row r="30">
      <c r="A30" s="2" t="inlineStr">
        <is>
          <t>Industry</t>
        </is>
      </c>
      <c r="B30" s="3" t="inlineStr">
        <is>
          <t>Common</t>
        </is>
      </c>
      <c r="C30" s="2" t="inlineStr">
        <is>
          <t>Beauty / Cosmetics</t>
        </is>
      </c>
      <c r="D30" s="2" t="inlineStr">
        <is>
          <t>Skincare, makeup, personal care</t>
        </is>
      </c>
    </row>
    <row r="31">
      <c r="A31" s="2" t="inlineStr">
        <is>
          <t>Industry</t>
        </is>
      </c>
      <c r="B31" s="3" t="inlineStr">
        <is>
          <t>Common</t>
        </is>
      </c>
      <c r="C31" s="2" t="inlineStr">
        <is>
          <t>Fitness / Wellness</t>
        </is>
      </c>
      <c r="D31" s="2" t="inlineStr">
        <is>
          <t>Gyms, health clubs, wellness apps</t>
        </is>
      </c>
    </row>
    <row r="32">
      <c r="A32" s="2" t="inlineStr">
        <is>
          <t>Industry</t>
        </is>
      </c>
      <c r="B32" s="3" t="inlineStr">
        <is>
          <t>Common</t>
        </is>
      </c>
      <c r="C32" s="2" t="inlineStr">
        <is>
          <t>Personal Care / Grooming</t>
        </is>
      </c>
      <c r="D32" s="2" t="inlineStr">
        <is>
          <t>Grooming, hygiene, oral care</t>
        </is>
      </c>
    </row>
    <row r="33">
      <c r="A33" s="2" t="inlineStr">
        <is>
          <t>Industry</t>
        </is>
      </c>
      <c r="B33" s="3" t="inlineStr">
        <is>
          <t>Common</t>
        </is>
      </c>
      <c r="C33" s="2" t="inlineStr">
        <is>
          <t>Construction</t>
        </is>
      </c>
      <c r="D33" s="2" t="inlineStr">
        <is>
          <t>Building, contracting, infrastructure</t>
        </is>
      </c>
    </row>
    <row r="34">
      <c r="A34" s="2" t="inlineStr">
        <is>
          <t>Industry</t>
        </is>
      </c>
      <c r="B34" s="3" t="inlineStr">
        <is>
          <t>Common</t>
        </is>
      </c>
      <c r="C34" s="2" t="inlineStr">
        <is>
          <t>QSR / Fast Casual</t>
        </is>
      </c>
      <c r="D34" s="2" t="inlineStr">
        <is>
          <t>Quick-service and fast casual restaurants</t>
        </is>
      </c>
    </row>
    <row r="35">
      <c r="A35" s="2" t="inlineStr">
        <is>
          <t>Industry</t>
        </is>
      </c>
      <c r="B35" s="3" t="inlineStr">
        <is>
          <t>Common</t>
        </is>
      </c>
      <c r="C35" s="2" t="inlineStr">
        <is>
          <t>Home Services</t>
        </is>
      </c>
      <c r="D35" s="2" t="inlineStr">
        <is>
          <t>HVAC, plumbing, cleaning, pest control</t>
        </is>
      </c>
    </row>
    <row r="36">
      <c r="A36" s="2" t="inlineStr">
        <is>
          <t>Industry</t>
        </is>
      </c>
      <c r="B36" s="3" t="inlineStr">
        <is>
          <t>Common</t>
        </is>
      </c>
      <c r="C36" s="2" t="inlineStr">
        <is>
          <t>Insurance / InsurTech</t>
        </is>
      </c>
      <c r="D36" s="2" t="inlineStr">
        <is>
          <t>Insurance products and digital distribution</t>
        </is>
      </c>
    </row>
    <row r="37">
      <c r="A37" s="2" t="inlineStr">
        <is>
          <t>Industry</t>
        </is>
      </c>
      <c r="B37" s="4" t="inlineStr">
        <is>
          <t>Unique</t>
        </is>
      </c>
      <c r="C37" s="2" t="inlineStr">
        <is>
          <t>Disaster Recovery / Restoration</t>
        </is>
      </c>
      <c r="D37" s="2" t="inlineStr">
        <is>
          <t>Emergency cleanup, mold remediation, water damage — very specialized audience</t>
        </is>
      </c>
    </row>
    <row r="38">
      <c r="A38" s="2" t="inlineStr">
        <is>
          <t>Industry</t>
        </is>
      </c>
      <c r="B38" s="4" t="inlineStr">
        <is>
          <t>Unique</t>
        </is>
      </c>
      <c r="C38" s="2" t="inlineStr">
        <is>
          <t>Non-Alcoholic Beer / Spirits</t>
        </is>
      </c>
      <c r="D38" s="2" t="inlineStr">
        <is>
          <t>Emerging category requiring new market creation, not replacing existing habits</t>
        </is>
      </c>
    </row>
    <row r="39">
      <c r="A39" s="2" t="inlineStr">
        <is>
          <t>Industry</t>
        </is>
      </c>
      <c r="B39" s="4" t="inlineStr">
        <is>
          <t>Unique</t>
        </is>
      </c>
      <c r="C39" s="2" t="inlineStr">
        <is>
          <t>Connected Fitness Hardware</t>
        </is>
      </c>
      <c r="D39" s="2" t="inlineStr">
        <is>
          <t>Physical devices with digital subscription — Peloton, Tonal, Mirror</t>
        </is>
      </c>
    </row>
    <row r="40">
      <c r="A40" s="2" t="inlineStr">
        <is>
          <t>Industry</t>
        </is>
      </c>
      <c r="B40" s="4" t="inlineStr">
        <is>
          <t>Unique</t>
        </is>
      </c>
      <c r="C40" s="2" t="inlineStr">
        <is>
          <t>Proptech</t>
        </is>
      </c>
      <c r="D40" s="2" t="inlineStr">
        <is>
          <t>Real estate technology disrupting traditional brokerage and property management</t>
        </is>
      </c>
    </row>
    <row r="41">
      <c r="A41" s="2" t="inlineStr">
        <is>
          <t>Industry</t>
        </is>
      </c>
      <c r="B41" s="4" t="inlineStr">
        <is>
          <t>Unique</t>
        </is>
      </c>
      <c r="C41" s="2" t="inlineStr">
        <is>
          <t>Space Technology</t>
        </is>
      </c>
      <c r="D41" s="2" t="inlineStr">
        <is>
          <t>Satellite, launch, orbital services — extremely niche regulatory and technical landscape</t>
        </is>
      </c>
    </row>
    <row r="42">
      <c r="A42" s="2" t="inlineStr">
        <is>
          <t>Industry</t>
        </is>
      </c>
      <c r="B42" s="4" t="inlineStr">
        <is>
          <t>Unique</t>
        </is>
      </c>
      <c r="C42" s="2" t="inlineStr">
        <is>
          <t>Cannabis / CBD</t>
        </is>
      </c>
      <c r="D42" s="2" t="inlineStr">
        <is>
          <t>Federally complex regulatory landscape, state-by-state compliance</t>
        </is>
      </c>
    </row>
    <row r="43">
      <c r="A43" s="2" t="inlineStr">
        <is>
          <t>Industry</t>
        </is>
      </c>
      <c r="B43" s="4" t="inlineStr">
        <is>
          <t>Unique</t>
        </is>
      </c>
      <c r="C43" s="2" t="inlineStr">
        <is>
          <t>Vertical Farming</t>
        </is>
      </c>
      <c r="D43" s="2" t="inlineStr">
        <is>
          <t>Controlled environment agriculture at commercial scale</t>
        </is>
      </c>
    </row>
    <row r="44">
      <c r="A44" s="2" t="inlineStr">
        <is>
          <t>Industry</t>
        </is>
      </c>
      <c r="B44" s="4" t="inlineStr">
        <is>
          <t>Unique</t>
        </is>
      </c>
      <c r="C44" s="2" t="inlineStr">
        <is>
          <t>Nuclear Energy (SMR)</t>
        </is>
      </c>
      <c r="D44" s="2" t="inlineStr">
        <is>
          <t>Small modular reactor technology — deep regulatory and safety expertise required</t>
        </is>
      </c>
    </row>
    <row r="45">
      <c r="A45" s="2" t="inlineStr">
        <is>
          <t>Transaction Platform</t>
        </is>
      </c>
      <c r="B45" s="3" t="inlineStr">
        <is>
          <t>Common</t>
        </is>
      </c>
      <c r="C45" s="2" t="inlineStr">
        <is>
          <t>Digital DTC</t>
        </is>
      </c>
      <c r="D45" s="2" t="inlineStr">
        <is>
          <t>Direct-to-consumer via owned website/app</t>
        </is>
      </c>
    </row>
    <row r="46">
      <c r="A46" s="2" t="inlineStr">
        <is>
          <t>Transaction Platform</t>
        </is>
      </c>
      <c r="B46" s="3" t="inlineStr">
        <is>
          <t>Common</t>
        </is>
      </c>
      <c r="C46" s="2" t="inlineStr">
        <is>
          <t>Multi-unit Four-wall</t>
        </is>
      </c>
      <c r="D46" s="2" t="inlineStr">
        <is>
          <t>Physical store locations (retail, restaurant, gym)</t>
        </is>
      </c>
    </row>
    <row r="47">
      <c r="A47" s="2" t="inlineStr">
        <is>
          <t>Transaction Platform</t>
        </is>
      </c>
      <c r="B47" s="3" t="inlineStr">
        <is>
          <t>Common</t>
        </is>
      </c>
      <c r="C47" s="2" t="inlineStr">
        <is>
          <t>E-Commerce</t>
        </is>
      </c>
      <c r="D47" s="2" t="inlineStr">
        <is>
          <t>Online marketplace or storefront</t>
        </is>
      </c>
    </row>
    <row r="48">
      <c r="A48" s="2" t="inlineStr">
        <is>
          <t>Transaction Platform</t>
        </is>
      </c>
      <c r="B48" s="3" t="inlineStr">
        <is>
          <t>Common</t>
        </is>
      </c>
      <c r="C48" s="2" t="inlineStr">
        <is>
          <t>Omnichannel</t>
        </is>
      </c>
      <c r="D48" s="2" t="inlineStr">
        <is>
          <t>Combination of digital + physical channels</t>
        </is>
      </c>
    </row>
    <row r="49">
      <c r="A49" s="2" t="inlineStr">
        <is>
          <t>Transaction Platform</t>
        </is>
      </c>
      <c r="B49" s="3" t="inlineStr">
        <is>
          <t>Common</t>
        </is>
      </c>
      <c r="C49" s="2" t="inlineStr">
        <is>
          <t>Digital Platform</t>
        </is>
      </c>
      <c r="D49" s="2" t="inlineStr">
        <is>
          <t>Software platform (web/mobile)</t>
        </is>
      </c>
    </row>
    <row r="50">
      <c r="A50" s="2" t="inlineStr">
        <is>
          <t>Transaction Platform</t>
        </is>
      </c>
      <c r="B50" s="3" t="inlineStr">
        <is>
          <t>Common</t>
        </is>
      </c>
      <c r="C50" s="2" t="inlineStr">
        <is>
          <t>Mobile-first</t>
        </is>
      </c>
      <c r="D50" s="2" t="inlineStr">
        <is>
          <t>Primary interaction through mobile app</t>
        </is>
      </c>
    </row>
    <row r="51">
      <c r="A51" s="2" t="inlineStr">
        <is>
          <t>Transaction Platform</t>
        </is>
      </c>
      <c r="B51" s="3" t="inlineStr">
        <is>
          <t>Common</t>
        </is>
      </c>
      <c r="C51" s="2" t="inlineStr">
        <is>
          <t>B2B Field Services</t>
        </is>
      </c>
      <c r="D51" s="2" t="inlineStr">
        <is>
          <t>Service teams deployed to business client sites</t>
        </is>
      </c>
    </row>
    <row r="52">
      <c r="A52" s="2" t="inlineStr">
        <is>
          <t>Transaction Platform</t>
        </is>
      </c>
      <c r="B52" s="3" t="inlineStr">
        <is>
          <t>Common</t>
        </is>
      </c>
      <c r="C52" s="2" t="inlineStr">
        <is>
          <t>B2C Field Services</t>
        </is>
      </c>
      <c r="D52" s="2" t="inlineStr">
        <is>
          <t>Service teams deployed to consumer homes</t>
        </is>
      </c>
    </row>
    <row r="53">
      <c r="A53" s="2" t="inlineStr">
        <is>
          <t>Transaction Platform</t>
        </is>
      </c>
      <c r="B53" s="3" t="inlineStr">
        <is>
          <t>Common</t>
        </is>
      </c>
      <c r="C53" s="2" t="inlineStr">
        <is>
          <t>Marketplace (Two-sided)</t>
        </is>
      </c>
      <c r="D53" s="2" t="inlineStr">
        <is>
          <t>Connecting buyers and sellers on a platform</t>
        </is>
      </c>
    </row>
    <row r="54">
      <c r="A54" s="2" t="inlineStr">
        <is>
          <t>Transaction Platform</t>
        </is>
      </c>
      <c r="B54" s="3" t="inlineStr">
        <is>
          <t>Common</t>
        </is>
      </c>
      <c r="C54" s="2" t="inlineStr">
        <is>
          <t>Retail (Physical)</t>
        </is>
      </c>
      <c r="D54" s="2" t="inlineStr">
        <is>
          <t>Traditional brick-and-mortar retail</t>
        </is>
      </c>
    </row>
    <row r="55">
      <c r="A55" s="2" t="inlineStr">
        <is>
          <t>Transaction Platform</t>
        </is>
      </c>
      <c r="B55" s="3" t="inlineStr">
        <is>
          <t>Common</t>
        </is>
      </c>
      <c r="C55" s="2" t="inlineStr">
        <is>
          <t>Streaming</t>
        </is>
      </c>
      <c r="D55" s="2" t="inlineStr">
        <is>
          <t>Content delivered via streaming platform</t>
        </is>
      </c>
    </row>
    <row r="56">
      <c r="A56" s="2" t="inlineStr">
        <is>
          <t>Transaction Platform</t>
        </is>
      </c>
      <c r="B56" s="4" t="inlineStr">
        <is>
          <t>Unique</t>
        </is>
      </c>
      <c r="C56" s="2" t="inlineStr">
        <is>
          <t>B2B Project-based</t>
        </is>
      </c>
      <c r="D56" s="2" t="inlineStr">
        <is>
          <t>Large contracts with milestone billing — construction, consulting, enterprise IT</t>
        </is>
      </c>
    </row>
    <row r="57">
      <c r="A57" s="2" t="inlineStr">
        <is>
          <t>Transaction Platform</t>
        </is>
      </c>
      <c r="B57" s="4" t="inlineStr">
        <is>
          <t>Unique</t>
        </is>
      </c>
      <c r="C57" s="2" t="inlineStr">
        <is>
          <t>Telehealth</t>
        </is>
      </c>
      <c r="D57" s="2" t="inlineStr">
        <is>
          <t>Remote medical delivery via video/app — regulatory, HIPAA, licensing complexity</t>
        </is>
      </c>
    </row>
    <row r="58">
      <c r="A58" s="2" t="inlineStr">
        <is>
          <t>Transaction Platform</t>
        </is>
      </c>
      <c r="B58" s="4" t="inlineStr">
        <is>
          <t>Unique</t>
        </is>
      </c>
      <c r="C58" s="2" t="inlineStr">
        <is>
          <t>Blockchain Settlement</t>
        </is>
      </c>
      <c r="D58" s="2" t="inlineStr">
        <is>
          <t>Crypto/DeFi transactions settled on-chain</t>
        </is>
      </c>
    </row>
    <row r="59">
      <c r="A59" s="2" t="inlineStr">
        <is>
          <t>Transaction Platform</t>
        </is>
      </c>
      <c r="B59" s="4" t="inlineStr">
        <is>
          <t>Unique</t>
        </is>
      </c>
      <c r="C59" s="2" t="inlineStr">
        <is>
          <t>Embedded (API-based)</t>
        </is>
      </c>
      <c r="D59" s="2" t="inlineStr">
        <is>
          <t>Product delivered inside another company's platform via API</t>
        </is>
      </c>
    </row>
    <row r="60">
      <c r="A60" s="2" t="inlineStr">
        <is>
          <t>Transaction Platform</t>
        </is>
      </c>
      <c r="B60" s="4" t="inlineStr">
        <is>
          <t>Unique</t>
        </is>
      </c>
      <c r="C60" s="2" t="inlineStr">
        <is>
          <t>Auction / Bidding</t>
        </is>
      </c>
      <c r="D60" s="2" t="inlineStr">
        <is>
          <t>Price determined by competitive bidding — art, commodities, spectrum</t>
        </is>
      </c>
    </row>
    <row r="61">
      <c r="A61" s="2" t="inlineStr">
        <is>
          <t>Transaction Platform</t>
        </is>
      </c>
      <c r="B61" s="4" t="inlineStr">
        <is>
          <t>Unique</t>
        </is>
      </c>
      <c r="C61" s="2" t="inlineStr">
        <is>
          <t>Peer-to-peer Network</t>
        </is>
      </c>
      <c r="D61" s="2" t="inlineStr">
        <is>
          <t>Users transact directly with each other — lending, energy, services</t>
        </is>
      </c>
    </row>
  </sheetData>
  <pageMargins left="0.75" right="0.75" top="1" bottom="1" header="0.5" footer="0.5"/>
</worksheet>
</file>

<file path=xl/worksheets/sheet3.xml><?xml version="1.0" encoding="utf-8"?>
<worksheet xmlns="http://schemas.openxmlformats.org/spreadsheetml/2006/main">
  <sheetPr>
    <tabColor rgb="00DC2626"/>
    <outlinePr summaryBelow="1" summaryRight="1"/>
    <pageSetUpPr/>
  </sheetPr>
  <dimension ref="A1:M98"/>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26" customWidth="1" min="3" max="3"/>
    <col width="28" customWidth="1" min="4" max="4"/>
    <col width="30" customWidth="1" min="5" max="5"/>
    <col width="22" customWidth="1" min="6" max="6"/>
    <col width="28" customWidth="1" min="7" max="7"/>
    <col width="13" customWidth="1" min="8" max="8"/>
    <col width="14" customWidth="1" min="9" max="9"/>
    <col width="14" customWidth="1" min="10" max="10"/>
    <col width="12" customWidth="1" min="11" max="11"/>
    <col width="12" customWidth="1" min="12" max="12"/>
    <col width="12" customWidth="1" min="13" max="13"/>
  </cols>
  <sheetData>
    <row r="1">
      <c r="A1" s="1" t="inlineStr">
        <is>
          <t>#</t>
        </is>
      </c>
      <c r="B1" s="1" t="inlineStr">
        <is>
          <t>Company</t>
        </is>
      </c>
      <c r="C1" s="1" t="inlineStr">
        <is>
          <t>Industry</t>
        </is>
      </c>
      <c r="D1" s="1" t="inlineStr">
        <is>
          <t>Business Model</t>
        </is>
      </c>
      <c r="E1" s="1" t="inlineStr">
        <is>
          <t>Transaction Platform</t>
        </is>
      </c>
      <c r="F1" s="1" t="inlineStr">
        <is>
          <t>Role</t>
        </is>
      </c>
      <c r="G1" s="1" t="inlineStr">
        <is>
          <t>Role Family</t>
        </is>
      </c>
      <c r="H1" s="1" t="inlineStr">
        <is>
          <t>Model Tier</t>
        </is>
      </c>
      <c r="I1" s="1" t="inlineStr">
        <is>
          <t>Industry Tier</t>
        </is>
      </c>
      <c r="J1" s="1" t="inlineStr">
        <is>
          <t>Platform Tier</t>
        </is>
      </c>
      <c r="K1" s="1" t="inlineStr">
        <is>
          <t>P1</t>
        </is>
      </c>
      <c r="L1" s="1" t="inlineStr">
        <is>
          <t>P2</t>
        </is>
      </c>
      <c r="M1" s="1" t="inlineStr">
        <is>
          <t>P3</t>
        </is>
      </c>
    </row>
    <row r="2">
      <c r="A2" s="2" t="n">
        <v>1</v>
      </c>
      <c r="B2" s="2" t="inlineStr">
        <is>
          <t>Ollie</t>
        </is>
      </c>
      <c r="C2" s="2" t="inlineStr">
        <is>
          <t>Pet Food</t>
        </is>
      </c>
      <c r="D2" s="2" t="inlineStr">
        <is>
          <t>Subscription</t>
        </is>
      </c>
      <c r="E2" s="2" t="inlineStr">
        <is>
          <t>Digital DTC</t>
        </is>
      </c>
      <c r="F2" s="2" t="inlineStr">
        <is>
          <t>CFO</t>
        </is>
      </c>
      <c r="G2" s="2" t="inlineStr">
        <is>
          <t>Finance / Accounting</t>
        </is>
      </c>
      <c r="H2" s="3" t="inlineStr">
        <is>
          <t>Common</t>
        </is>
      </c>
      <c r="I2" s="3" t="inlineStr">
        <is>
          <t>Common</t>
        </is>
      </c>
      <c r="J2" s="3" t="inlineStr">
        <is>
          <t>Common</t>
        </is>
      </c>
      <c r="K2" s="5">
        <f>IF(NOT(OR(H2="Unique",I2="Unique",J2="Unique")),VLOOKUP(G2,'Role Families'!B:E,2,FALSE),IF(IF(VLOOKUP(G2,'Role Families'!B:E,2,FALSE)="Model",H2,IF(VLOOKUP(G2,'Role Families'!B:E,2,FALSE)="Industry",I2,J2))="Unique",VLOOKUP(G2,'Role Families'!B:E,2,FALSE),IF(IF(VLOOKUP(G2,'Role Families'!B:E,3,FALSE)="Model",H2,IF(VLOOKUP(G2,'Role Families'!B:E,3,FALSE)="Industry",I2,J2))="Unique",VLOOKUP(G2,'Role Families'!B:E,3,FALSE),VLOOKUP(G2,'Role Families'!B:E,4,FALSE))))</f>
        <v/>
      </c>
      <c r="L2" s="2">
        <f>IF(NOT(OR(H2="Unique",I2="Unique",J2="Unique")),VLOOKUP(G2,'Role Families'!B:E,3,FALSE),IF(IF(VLOOKUP(G2,'Role Families'!B:E,2,FALSE)="Model",H2,IF(VLOOKUP(G2,'Role Families'!B:E,2,FALSE)="Industry",I2,J2))="Unique",VLOOKUP(G2,'Role Families'!B:E,3,FALSE),VLOOKUP(G2,'Role Families'!B:E,2,FALSE)))</f>
        <v/>
      </c>
      <c r="M2" s="2">
        <f>IF(NOT(OR(H2="Unique",I2="Unique",J2="Unique")),VLOOKUP(G2,'Role Families'!B:E,4,FALSE),IF(IF(VLOOKUP(G2,'Role Families'!B:E,2,FALSE)="Model",H2,IF(VLOOKUP(G2,'Role Families'!B:E,2,FALSE)="Industry",I2,J2))="Unique",VLOOKUP(G2,'Role Families'!B:E,4,FALSE),IF(IF(VLOOKUP(G2,'Role Families'!B:E,3,FALSE)="Model",H2,IF(VLOOKUP(G2,'Role Families'!B:E,3,FALSE)="Industry",I2,J2))="Unique",VLOOKUP(G2,'Role Families'!B:E,4,FALSE),VLOOKUP(G2,'Role Families'!B:E,3,FALSE))))</f>
        <v/>
      </c>
    </row>
    <row r="3">
      <c r="A3" s="2" t="n">
        <v>2</v>
      </c>
      <c r="B3" s="2" t="inlineStr">
        <is>
          <t>The Farmer's Dog</t>
        </is>
      </c>
      <c r="C3" s="2" t="inlineStr">
        <is>
          <t>Pet Food</t>
        </is>
      </c>
      <c r="D3" s="2" t="inlineStr">
        <is>
          <t>Subscription</t>
        </is>
      </c>
      <c r="E3" s="2" t="inlineStr">
        <is>
          <t>Digital DTC</t>
        </is>
      </c>
      <c r="F3" s="2" t="inlineStr">
        <is>
          <t>CMO</t>
        </is>
      </c>
      <c r="G3" s="2" t="inlineStr">
        <is>
          <t>Marketing / Brand</t>
        </is>
      </c>
      <c r="H3" s="3" t="inlineStr">
        <is>
          <t>Common</t>
        </is>
      </c>
      <c r="I3" s="3" t="inlineStr">
        <is>
          <t>Common</t>
        </is>
      </c>
      <c r="J3" s="3" t="inlineStr">
        <is>
          <t>Common</t>
        </is>
      </c>
      <c r="K3" s="5">
        <f>IF(NOT(OR(H3="Unique",I3="Unique",J3="Unique")),VLOOKUP(G3,'Role Families'!B:E,2,FALSE),IF(IF(VLOOKUP(G3,'Role Families'!B:E,2,FALSE)="Model",H3,IF(VLOOKUP(G3,'Role Families'!B:E,2,FALSE)="Industry",I3,J3))="Unique",VLOOKUP(G3,'Role Families'!B:E,2,FALSE),IF(IF(VLOOKUP(G3,'Role Families'!B:E,3,FALSE)="Model",H3,IF(VLOOKUP(G3,'Role Families'!B:E,3,FALSE)="Industry",I3,J3))="Unique",VLOOKUP(G3,'Role Families'!B:E,3,FALSE),VLOOKUP(G3,'Role Families'!B:E,4,FALSE))))</f>
        <v/>
      </c>
      <c r="L3" s="2">
        <f>IF(NOT(OR(H3="Unique",I3="Unique",J3="Unique")),VLOOKUP(G3,'Role Families'!B:E,3,FALSE),IF(IF(VLOOKUP(G3,'Role Families'!B:E,2,FALSE)="Model",H3,IF(VLOOKUP(G3,'Role Families'!B:E,2,FALSE)="Industry",I3,J3))="Unique",VLOOKUP(G3,'Role Families'!B:E,3,FALSE),VLOOKUP(G3,'Role Families'!B:E,2,FALSE)))</f>
        <v/>
      </c>
      <c r="M3" s="2">
        <f>IF(NOT(OR(H3="Unique",I3="Unique",J3="Unique")),VLOOKUP(G3,'Role Families'!B:E,4,FALSE),IF(IF(VLOOKUP(G3,'Role Families'!B:E,2,FALSE)="Model",H3,IF(VLOOKUP(G3,'Role Families'!B:E,2,FALSE)="Industry",I3,J3))="Unique",VLOOKUP(G3,'Role Families'!B:E,4,FALSE),IF(IF(VLOOKUP(G3,'Role Families'!B:E,3,FALSE)="Model",H3,IF(VLOOKUP(G3,'Role Families'!B:E,3,FALSE)="Industry",I3,J3))="Unique",VLOOKUP(G3,'Role Families'!B:E,4,FALSE),VLOOKUP(G3,'Role Families'!B:E,3,FALSE))))</f>
        <v/>
      </c>
    </row>
    <row r="4">
      <c r="A4" s="2" t="n">
        <v>3</v>
      </c>
      <c r="B4" s="2" t="inlineStr">
        <is>
          <t>Freshpet</t>
        </is>
      </c>
      <c r="C4" s="2" t="inlineStr">
        <is>
          <t>Pet Food</t>
        </is>
      </c>
      <c r="D4" s="2" t="inlineStr">
        <is>
          <t>Retail (Refrigerated)</t>
        </is>
      </c>
      <c r="E4" s="2" t="inlineStr">
        <is>
          <t>Omnichannel</t>
        </is>
      </c>
      <c r="F4" s="2" t="inlineStr">
        <is>
          <t>VP Supply Chain</t>
        </is>
      </c>
      <c r="G4" s="2" t="inlineStr">
        <is>
          <t>Supply Chain / Logistics</t>
        </is>
      </c>
      <c r="H4" s="3" t="inlineStr">
        <is>
          <t>Common</t>
        </is>
      </c>
      <c r="I4" s="3" t="inlineStr">
        <is>
          <t>Common</t>
        </is>
      </c>
      <c r="J4" s="3" t="inlineStr">
        <is>
          <t>Common</t>
        </is>
      </c>
      <c r="K4" s="5">
        <f>IF(NOT(OR(H4="Unique",I4="Unique",J4="Unique")),VLOOKUP(G4,'Role Families'!B:E,2,FALSE),IF(IF(VLOOKUP(G4,'Role Families'!B:E,2,FALSE)="Model",H4,IF(VLOOKUP(G4,'Role Families'!B:E,2,FALSE)="Industry",I4,J4))="Unique",VLOOKUP(G4,'Role Families'!B:E,2,FALSE),IF(IF(VLOOKUP(G4,'Role Families'!B:E,3,FALSE)="Model",H4,IF(VLOOKUP(G4,'Role Families'!B:E,3,FALSE)="Industry",I4,J4))="Unique",VLOOKUP(G4,'Role Families'!B:E,3,FALSE),VLOOKUP(G4,'Role Families'!B:E,4,FALSE))))</f>
        <v/>
      </c>
      <c r="L4" s="2">
        <f>IF(NOT(OR(H4="Unique",I4="Unique",J4="Unique")),VLOOKUP(G4,'Role Families'!B:E,3,FALSE),IF(IF(VLOOKUP(G4,'Role Families'!B:E,2,FALSE)="Model",H4,IF(VLOOKUP(G4,'Role Families'!B:E,2,FALSE)="Industry",I4,J4))="Unique",VLOOKUP(G4,'Role Families'!B:E,3,FALSE),VLOOKUP(G4,'Role Families'!B:E,2,FALSE)))</f>
        <v/>
      </c>
      <c r="M4" s="2">
        <f>IF(NOT(OR(H4="Unique",I4="Unique",J4="Unique")),VLOOKUP(G4,'Role Families'!B:E,4,FALSE),IF(IF(VLOOKUP(G4,'Role Families'!B:E,2,FALSE)="Model",H4,IF(VLOOKUP(G4,'Role Families'!B:E,2,FALSE)="Industry",I4,J4))="Unique",VLOOKUP(G4,'Role Families'!B:E,4,FALSE),IF(IF(VLOOKUP(G4,'Role Families'!B:E,3,FALSE)="Model",H4,IF(VLOOKUP(G4,'Role Families'!B:E,3,FALSE)="Industry",I4,J4))="Unique",VLOOKUP(G4,'Role Families'!B:E,4,FALSE),VLOOKUP(G4,'Role Families'!B:E,3,FALSE))))</f>
        <v/>
      </c>
    </row>
    <row r="5">
      <c r="A5" s="2" t="n">
        <v>4</v>
      </c>
      <c r="B5" s="2" t="inlineStr">
        <is>
          <t>Chewy</t>
        </is>
      </c>
      <c r="C5" s="2" t="inlineStr">
        <is>
          <t>Pet Products / E-Commerce</t>
        </is>
      </c>
      <c r="D5" s="2" t="inlineStr">
        <is>
          <t>E-Commerce</t>
        </is>
      </c>
      <c r="E5" s="2" t="inlineStr">
        <is>
          <t>Digital E-Commerce</t>
        </is>
      </c>
      <c r="F5" s="2" t="inlineStr">
        <is>
          <t>CTO</t>
        </is>
      </c>
      <c r="G5" s="2" t="inlineStr">
        <is>
          <t>Technology / Engineering</t>
        </is>
      </c>
      <c r="H5" s="3" t="inlineStr">
        <is>
          <t>Common</t>
        </is>
      </c>
      <c r="I5" s="3" t="inlineStr">
        <is>
          <t>Common</t>
        </is>
      </c>
      <c r="J5" s="3" t="inlineStr">
        <is>
          <t>Common</t>
        </is>
      </c>
      <c r="K5" s="5">
        <f>IF(NOT(OR(H5="Unique",I5="Unique",J5="Unique")),VLOOKUP(G5,'Role Families'!B:E,2,FALSE),IF(IF(VLOOKUP(G5,'Role Families'!B:E,2,FALSE)="Model",H5,IF(VLOOKUP(G5,'Role Families'!B:E,2,FALSE)="Industry",I5,J5))="Unique",VLOOKUP(G5,'Role Families'!B:E,2,FALSE),IF(IF(VLOOKUP(G5,'Role Families'!B:E,3,FALSE)="Model",H5,IF(VLOOKUP(G5,'Role Families'!B:E,3,FALSE)="Industry",I5,J5))="Unique",VLOOKUP(G5,'Role Families'!B:E,3,FALSE),VLOOKUP(G5,'Role Families'!B:E,4,FALSE))))</f>
        <v/>
      </c>
      <c r="L5" s="2">
        <f>IF(NOT(OR(H5="Unique",I5="Unique",J5="Unique")),VLOOKUP(G5,'Role Families'!B:E,3,FALSE),IF(IF(VLOOKUP(G5,'Role Families'!B:E,2,FALSE)="Model",H5,IF(VLOOKUP(G5,'Role Families'!B:E,2,FALSE)="Industry",I5,J5))="Unique",VLOOKUP(G5,'Role Families'!B:E,3,FALSE),VLOOKUP(G5,'Role Families'!B:E,2,FALSE)))</f>
        <v/>
      </c>
      <c r="M5" s="2">
        <f>IF(NOT(OR(H5="Unique",I5="Unique",J5="Unique")),VLOOKUP(G5,'Role Families'!B:E,4,FALSE),IF(IF(VLOOKUP(G5,'Role Families'!B:E,2,FALSE)="Model",H5,IF(VLOOKUP(G5,'Role Families'!B:E,2,FALSE)="Industry",I5,J5))="Unique",VLOOKUP(G5,'Role Families'!B:E,4,FALSE),IF(IF(VLOOKUP(G5,'Role Families'!B:E,3,FALSE)="Model",H5,IF(VLOOKUP(G5,'Role Families'!B:E,3,FALSE)="Industry",I5,J5))="Unique",VLOOKUP(G5,'Role Families'!B:E,4,FALSE),VLOOKUP(G5,'Role Families'!B:E,3,FALSE))))</f>
        <v/>
      </c>
    </row>
    <row r="6">
      <c r="A6" s="2" t="n">
        <v>5</v>
      </c>
      <c r="B6" s="2" t="inlineStr">
        <is>
          <t>BarkBox</t>
        </is>
      </c>
      <c r="C6" s="2" t="inlineStr">
        <is>
          <t>Pet Products</t>
        </is>
      </c>
      <c r="D6" s="2" t="inlineStr">
        <is>
          <t>Subscription</t>
        </is>
      </c>
      <c r="E6" s="2" t="inlineStr">
        <is>
          <t>Digital DTC</t>
        </is>
      </c>
      <c r="F6" s="2" t="inlineStr">
        <is>
          <t>VP Sales</t>
        </is>
      </c>
      <c r="G6" s="2" t="inlineStr">
        <is>
          <t>Sales / Revenue</t>
        </is>
      </c>
      <c r="H6" s="3" t="inlineStr">
        <is>
          <t>Common</t>
        </is>
      </c>
      <c r="I6" s="3" t="inlineStr">
        <is>
          <t>Common</t>
        </is>
      </c>
      <c r="J6" s="3" t="inlineStr">
        <is>
          <t>Common</t>
        </is>
      </c>
      <c r="K6" s="5">
        <f>IF(NOT(OR(H6="Unique",I6="Unique",J6="Unique")),VLOOKUP(G6,'Role Families'!B:E,2,FALSE),IF(IF(VLOOKUP(G6,'Role Families'!B:E,2,FALSE)="Model",H6,IF(VLOOKUP(G6,'Role Families'!B:E,2,FALSE)="Industry",I6,J6))="Unique",VLOOKUP(G6,'Role Families'!B:E,2,FALSE),IF(IF(VLOOKUP(G6,'Role Families'!B:E,3,FALSE)="Model",H6,IF(VLOOKUP(G6,'Role Families'!B:E,3,FALSE)="Industry",I6,J6))="Unique",VLOOKUP(G6,'Role Families'!B:E,3,FALSE),VLOOKUP(G6,'Role Families'!B:E,4,FALSE))))</f>
        <v/>
      </c>
      <c r="L6" s="2">
        <f>IF(NOT(OR(H6="Unique",I6="Unique",J6="Unique")),VLOOKUP(G6,'Role Families'!B:E,3,FALSE),IF(IF(VLOOKUP(G6,'Role Families'!B:E,2,FALSE)="Model",H6,IF(VLOOKUP(G6,'Role Families'!B:E,2,FALSE)="Industry",I6,J6))="Unique",VLOOKUP(G6,'Role Families'!B:E,3,FALSE),VLOOKUP(G6,'Role Families'!B:E,2,FALSE)))</f>
        <v/>
      </c>
      <c r="M6" s="2">
        <f>IF(NOT(OR(H6="Unique",I6="Unique",J6="Unique")),VLOOKUP(G6,'Role Families'!B:E,4,FALSE),IF(IF(VLOOKUP(G6,'Role Families'!B:E,2,FALSE)="Model",H6,IF(VLOOKUP(G6,'Role Families'!B:E,2,FALSE)="Industry",I6,J6))="Unique",VLOOKUP(G6,'Role Families'!B:E,4,FALSE),IF(IF(VLOOKUP(G6,'Role Families'!B:E,3,FALSE)="Model",H6,IF(VLOOKUP(G6,'Role Families'!B:E,3,FALSE)="Industry",I6,J6))="Unique",VLOOKUP(G6,'Role Families'!B:E,4,FALSE),VLOOKUP(G6,'Role Families'!B:E,3,FALSE))))</f>
        <v/>
      </c>
    </row>
    <row r="7">
      <c r="A7" s="2" t="n">
        <v>6</v>
      </c>
      <c r="B7" s="2" t="inlineStr">
        <is>
          <t>Alo Yoga</t>
        </is>
      </c>
      <c r="C7" s="2" t="inlineStr">
        <is>
          <t>Activewear</t>
        </is>
      </c>
      <c r="D7" s="2" t="inlineStr">
        <is>
          <t>E-Commerce + Retail</t>
        </is>
      </c>
      <c r="E7" s="2" t="inlineStr">
        <is>
          <t>Omnichannel</t>
        </is>
      </c>
      <c r="F7" s="2" t="inlineStr">
        <is>
          <t>CMO</t>
        </is>
      </c>
      <c r="G7" s="2" t="inlineStr">
        <is>
          <t>Marketing / Brand</t>
        </is>
      </c>
      <c r="H7" s="3" t="inlineStr">
        <is>
          <t>Common</t>
        </is>
      </c>
      <c r="I7" s="3" t="inlineStr">
        <is>
          <t>Common</t>
        </is>
      </c>
      <c r="J7" s="3" t="inlineStr">
        <is>
          <t>Common</t>
        </is>
      </c>
      <c r="K7" s="5">
        <f>IF(NOT(OR(H7="Unique",I7="Unique",J7="Unique")),VLOOKUP(G7,'Role Families'!B:E,2,FALSE),IF(IF(VLOOKUP(G7,'Role Families'!B:E,2,FALSE)="Model",H7,IF(VLOOKUP(G7,'Role Families'!B:E,2,FALSE)="Industry",I7,J7))="Unique",VLOOKUP(G7,'Role Families'!B:E,2,FALSE),IF(IF(VLOOKUP(G7,'Role Families'!B:E,3,FALSE)="Model",H7,IF(VLOOKUP(G7,'Role Families'!B:E,3,FALSE)="Industry",I7,J7))="Unique",VLOOKUP(G7,'Role Families'!B:E,3,FALSE),VLOOKUP(G7,'Role Families'!B:E,4,FALSE))))</f>
        <v/>
      </c>
      <c r="L7" s="2">
        <f>IF(NOT(OR(H7="Unique",I7="Unique",J7="Unique")),VLOOKUP(G7,'Role Families'!B:E,3,FALSE),IF(IF(VLOOKUP(G7,'Role Families'!B:E,2,FALSE)="Model",H7,IF(VLOOKUP(G7,'Role Families'!B:E,2,FALSE)="Industry",I7,J7))="Unique",VLOOKUP(G7,'Role Families'!B:E,3,FALSE),VLOOKUP(G7,'Role Families'!B:E,2,FALSE)))</f>
        <v/>
      </c>
      <c r="M7" s="2">
        <f>IF(NOT(OR(H7="Unique",I7="Unique",J7="Unique")),VLOOKUP(G7,'Role Families'!B:E,4,FALSE),IF(IF(VLOOKUP(G7,'Role Families'!B:E,2,FALSE)="Model",H7,IF(VLOOKUP(G7,'Role Families'!B:E,2,FALSE)="Industry",I7,J7))="Unique",VLOOKUP(G7,'Role Families'!B:E,4,FALSE),IF(IF(VLOOKUP(G7,'Role Families'!B:E,3,FALSE)="Model",H7,IF(VLOOKUP(G7,'Role Families'!B:E,3,FALSE)="Industry",I7,J7))="Unique",VLOOKUP(G7,'Role Families'!B:E,4,FALSE),VLOOKUP(G7,'Role Families'!B:E,3,FALSE))))</f>
        <v/>
      </c>
    </row>
    <row r="8">
      <c r="A8" s="2" t="n">
        <v>7</v>
      </c>
      <c r="B8" s="2" t="inlineStr">
        <is>
          <t>Alo Yoga</t>
        </is>
      </c>
      <c r="C8" s="2" t="inlineStr">
        <is>
          <t>Activewear</t>
        </is>
      </c>
      <c r="D8" s="2" t="inlineStr">
        <is>
          <t>E-Commerce + Retail</t>
        </is>
      </c>
      <c r="E8" s="2" t="inlineStr">
        <is>
          <t>Omnichannel</t>
        </is>
      </c>
      <c r="F8" s="2" t="inlineStr">
        <is>
          <t>CHRO</t>
        </is>
      </c>
      <c r="G8" s="2" t="inlineStr">
        <is>
          <t>People / HR</t>
        </is>
      </c>
      <c r="H8" s="3" t="inlineStr">
        <is>
          <t>Common</t>
        </is>
      </c>
      <c r="I8" s="3" t="inlineStr">
        <is>
          <t>Common</t>
        </is>
      </c>
      <c r="J8" s="3" t="inlineStr">
        <is>
          <t>Common</t>
        </is>
      </c>
      <c r="K8" s="5">
        <f>IF(NOT(OR(H8="Unique",I8="Unique",J8="Unique")),VLOOKUP(G8,'Role Families'!B:E,2,FALSE),IF(IF(VLOOKUP(G8,'Role Families'!B:E,2,FALSE)="Model",H8,IF(VLOOKUP(G8,'Role Families'!B:E,2,FALSE)="Industry",I8,J8))="Unique",VLOOKUP(G8,'Role Families'!B:E,2,FALSE),IF(IF(VLOOKUP(G8,'Role Families'!B:E,3,FALSE)="Model",H8,IF(VLOOKUP(G8,'Role Families'!B:E,3,FALSE)="Industry",I8,J8))="Unique",VLOOKUP(G8,'Role Families'!B:E,3,FALSE),VLOOKUP(G8,'Role Families'!B:E,4,FALSE))))</f>
        <v/>
      </c>
      <c r="L8" s="2">
        <f>IF(NOT(OR(H8="Unique",I8="Unique",J8="Unique")),VLOOKUP(G8,'Role Families'!B:E,3,FALSE),IF(IF(VLOOKUP(G8,'Role Families'!B:E,2,FALSE)="Model",H8,IF(VLOOKUP(G8,'Role Families'!B:E,2,FALSE)="Industry",I8,J8))="Unique",VLOOKUP(G8,'Role Families'!B:E,3,FALSE),VLOOKUP(G8,'Role Families'!B:E,2,FALSE)))</f>
        <v/>
      </c>
      <c r="M8" s="2">
        <f>IF(NOT(OR(H8="Unique",I8="Unique",J8="Unique")),VLOOKUP(G8,'Role Families'!B:E,4,FALSE),IF(IF(VLOOKUP(G8,'Role Families'!B:E,2,FALSE)="Model",H8,IF(VLOOKUP(G8,'Role Families'!B:E,2,FALSE)="Industry",I8,J8))="Unique",VLOOKUP(G8,'Role Families'!B:E,4,FALSE),IF(IF(VLOOKUP(G8,'Role Families'!B:E,3,FALSE)="Model",H8,IF(VLOOKUP(G8,'Role Families'!B:E,3,FALSE)="Industry",I8,J8))="Unique",VLOOKUP(G8,'Role Families'!B:E,4,FALSE),VLOOKUP(G8,'Role Families'!B:E,3,FALSE))))</f>
        <v/>
      </c>
    </row>
    <row r="9">
      <c r="A9" s="2" t="n">
        <v>8</v>
      </c>
      <c r="B9" s="2" t="inlineStr">
        <is>
          <t>Vuori</t>
        </is>
      </c>
      <c r="C9" s="2" t="inlineStr">
        <is>
          <t>Activewear</t>
        </is>
      </c>
      <c r="D9" s="2" t="inlineStr">
        <is>
          <t>E-Commerce + Retail</t>
        </is>
      </c>
      <c r="E9" s="2" t="inlineStr">
        <is>
          <t>Omnichannel</t>
        </is>
      </c>
      <c r="F9" s="2" t="inlineStr">
        <is>
          <t>CFO</t>
        </is>
      </c>
      <c r="G9" s="2" t="inlineStr">
        <is>
          <t>Finance / Accounting</t>
        </is>
      </c>
      <c r="H9" s="3" t="inlineStr">
        <is>
          <t>Common</t>
        </is>
      </c>
      <c r="I9" s="3" t="inlineStr">
        <is>
          <t>Common</t>
        </is>
      </c>
      <c r="J9" s="3" t="inlineStr">
        <is>
          <t>Common</t>
        </is>
      </c>
      <c r="K9" s="5">
        <f>IF(NOT(OR(H9="Unique",I9="Unique",J9="Unique")),VLOOKUP(G9,'Role Families'!B:E,2,FALSE),IF(IF(VLOOKUP(G9,'Role Families'!B:E,2,FALSE)="Model",H9,IF(VLOOKUP(G9,'Role Families'!B:E,2,FALSE)="Industry",I9,J9))="Unique",VLOOKUP(G9,'Role Families'!B:E,2,FALSE),IF(IF(VLOOKUP(G9,'Role Families'!B:E,3,FALSE)="Model",H9,IF(VLOOKUP(G9,'Role Families'!B:E,3,FALSE)="Industry",I9,J9))="Unique",VLOOKUP(G9,'Role Families'!B:E,3,FALSE),VLOOKUP(G9,'Role Families'!B:E,4,FALSE))))</f>
        <v/>
      </c>
      <c r="L9" s="2">
        <f>IF(NOT(OR(H9="Unique",I9="Unique",J9="Unique")),VLOOKUP(G9,'Role Families'!B:E,3,FALSE),IF(IF(VLOOKUP(G9,'Role Families'!B:E,2,FALSE)="Model",H9,IF(VLOOKUP(G9,'Role Families'!B:E,2,FALSE)="Industry",I9,J9))="Unique",VLOOKUP(G9,'Role Families'!B:E,3,FALSE),VLOOKUP(G9,'Role Families'!B:E,2,FALSE)))</f>
        <v/>
      </c>
      <c r="M9" s="2">
        <f>IF(NOT(OR(H9="Unique",I9="Unique",J9="Unique")),VLOOKUP(G9,'Role Families'!B:E,4,FALSE),IF(IF(VLOOKUP(G9,'Role Families'!B:E,2,FALSE)="Model",H9,IF(VLOOKUP(G9,'Role Families'!B:E,2,FALSE)="Industry",I9,J9))="Unique",VLOOKUP(G9,'Role Families'!B:E,4,FALSE),IF(IF(VLOOKUP(G9,'Role Families'!B:E,3,FALSE)="Model",H9,IF(VLOOKUP(G9,'Role Families'!B:E,3,FALSE)="Industry",I9,J9))="Unique",VLOOKUP(G9,'Role Families'!B:E,4,FALSE),VLOOKUP(G9,'Role Families'!B:E,3,FALSE))))</f>
        <v/>
      </c>
    </row>
    <row r="10">
      <c r="A10" s="2" t="n">
        <v>9</v>
      </c>
      <c r="B10" s="2" t="inlineStr">
        <is>
          <t>Allbirds</t>
        </is>
      </c>
      <c r="C10" s="2" t="inlineStr">
        <is>
          <t>Footwear / Fashion</t>
        </is>
      </c>
      <c r="D10" s="2" t="inlineStr">
        <is>
          <t>E-Commerce + Retail</t>
        </is>
      </c>
      <c r="E10" s="2" t="inlineStr">
        <is>
          <t>Omnichannel</t>
        </is>
      </c>
      <c r="F10" s="2" t="inlineStr">
        <is>
          <t>VP Product</t>
        </is>
      </c>
      <c r="G10" s="2" t="inlineStr">
        <is>
          <t>Product</t>
        </is>
      </c>
      <c r="H10" s="3" t="inlineStr">
        <is>
          <t>Common</t>
        </is>
      </c>
      <c r="I10" s="3" t="inlineStr">
        <is>
          <t>Common</t>
        </is>
      </c>
      <c r="J10" s="3" t="inlineStr">
        <is>
          <t>Common</t>
        </is>
      </c>
      <c r="K10" s="5">
        <f>IF(NOT(OR(H10="Unique",I10="Unique",J10="Unique")),VLOOKUP(G10,'Role Families'!B:E,2,FALSE),IF(IF(VLOOKUP(G10,'Role Families'!B:E,2,FALSE)="Model",H10,IF(VLOOKUP(G10,'Role Families'!B:E,2,FALSE)="Industry",I10,J10))="Unique",VLOOKUP(G10,'Role Families'!B:E,2,FALSE),IF(IF(VLOOKUP(G10,'Role Families'!B:E,3,FALSE)="Model",H10,IF(VLOOKUP(G10,'Role Families'!B:E,3,FALSE)="Industry",I10,J10))="Unique",VLOOKUP(G10,'Role Families'!B:E,3,FALSE),VLOOKUP(G10,'Role Families'!B:E,4,FALSE))))</f>
        <v/>
      </c>
      <c r="L10" s="2">
        <f>IF(NOT(OR(H10="Unique",I10="Unique",J10="Unique")),VLOOKUP(G10,'Role Families'!B:E,3,FALSE),IF(IF(VLOOKUP(G10,'Role Families'!B:E,2,FALSE)="Model",H10,IF(VLOOKUP(G10,'Role Families'!B:E,2,FALSE)="Industry",I10,J10))="Unique",VLOOKUP(G10,'Role Families'!B:E,3,FALSE),VLOOKUP(G10,'Role Families'!B:E,2,FALSE)))</f>
        <v/>
      </c>
      <c r="M10" s="2">
        <f>IF(NOT(OR(H10="Unique",I10="Unique",J10="Unique")),VLOOKUP(G10,'Role Families'!B:E,4,FALSE),IF(IF(VLOOKUP(G10,'Role Families'!B:E,2,FALSE)="Model",H10,IF(VLOOKUP(G10,'Role Families'!B:E,2,FALSE)="Industry",I10,J10))="Unique",VLOOKUP(G10,'Role Families'!B:E,4,FALSE),IF(IF(VLOOKUP(G10,'Role Families'!B:E,3,FALSE)="Model",H10,IF(VLOOKUP(G10,'Role Families'!B:E,3,FALSE)="Industry",I10,J10))="Unique",VLOOKUP(G10,'Role Families'!B:E,4,FALSE),VLOOKUP(G10,'Role Families'!B:E,3,FALSE))))</f>
        <v/>
      </c>
    </row>
    <row r="11">
      <c r="A11" s="2" t="n">
        <v>10</v>
      </c>
      <c r="B11" s="2" t="inlineStr">
        <is>
          <t>Warby Parker</t>
        </is>
      </c>
      <c r="C11" s="2" t="inlineStr">
        <is>
          <t>Eyewear / Fashion</t>
        </is>
      </c>
      <c r="D11" s="2" t="inlineStr">
        <is>
          <t>E-Commerce + Retail</t>
        </is>
      </c>
      <c r="E11" s="2" t="inlineStr">
        <is>
          <t>Omnichannel</t>
        </is>
      </c>
      <c r="F11" s="2" t="inlineStr">
        <is>
          <t>General Counsel</t>
        </is>
      </c>
      <c r="G11" s="2" t="inlineStr">
        <is>
          <t>Legal / Compliance</t>
        </is>
      </c>
      <c r="H11" s="3" t="inlineStr">
        <is>
          <t>Common</t>
        </is>
      </c>
      <c r="I11" s="3" t="inlineStr">
        <is>
          <t>Common</t>
        </is>
      </c>
      <c r="J11" s="3" t="inlineStr">
        <is>
          <t>Common</t>
        </is>
      </c>
      <c r="K11" s="5">
        <f>IF(NOT(OR(H11="Unique",I11="Unique",J11="Unique")),VLOOKUP(G11,'Role Families'!B:E,2,FALSE),IF(IF(VLOOKUP(G11,'Role Families'!B:E,2,FALSE)="Model",H11,IF(VLOOKUP(G11,'Role Families'!B:E,2,FALSE)="Industry",I11,J11))="Unique",VLOOKUP(G11,'Role Families'!B:E,2,FALSE),IF(IF(VLOOKUP(G11,'Role Families'!B:E,3,FALSE)="Model",H11,IF(VLOOKUP(G11,'Role Families'!B:E,3,FALSE)="Industry",I11,J11))="Unique",VLOOKUP(G11,'Role Families'!B:E,3,FALSE),VLOOKUP(G11,'Role Families'!B:E,4,FALSE))))</f>
        <v/>
      </c>
      <c r="L11" s="2">
        <f>IF(NOT(OR(H11="Unique",I11="Unique",J11="Unique")),VLOOKUP(G11,'Role Families'!B:E,3,FALSE),IF(IF(VLOOKUP(G11,'Role Families'!B:E,2,FALSE)="Model",H11,IF(VLOOKUP(G11,'Role Families'!B:E,2,FALSE)="Industry",I11,J11))="Unique",VLOOKUP(G11,'Role Families'!B:E,3,FALSE),VLOOKUP(G11,'Role Families'!B:E,2,FALSE)))</f>
        <v/>
      </c>
      <c r="M11" s="2">
        <f>IF(NOT(OR(H11="Unique",I11="Unique",J11="Unique")),VLOOKUP(G11,'Role Families'!B:E,4,FALSE),IF(IF(VLOOKUP(G11,'Role Families'!B:E,2,FALSE)="Model",H11,IF(VLOOKUP(G11,'Role Families'!B:E,2,FALSE)="Industry",I11,J11))="Unique",VLOOKUP(G11,'Role Families'!B:E,4,FALSE),IF(IF(VLOOKUP(G11,'Role Families'!B:E,3,FALSE)="Model",H11,IF(VLOOKUP(G11,'Role Families'!B:E,3,FALSE)="Industry",I11,J11))="Unique",VLOOKUP(G11,'Role Families'!B:E,4,FALSE),VLOOKUP(G11,'Role Families'!B:E,3,FALSE))))</f>
        <v/>
      </c>
    </row>
    <row r="12">
      <c r="A12" s="2" t="n">
        <v>11</v>
      </c>
      <c r="B12" s="2" t="inlineStr">
        <is>
          <t>Lululemon</t>
        </is>
      </c>
      <c r="C12" s="2" t="inlineStr">
        <is>
          <t>Activewear</t>
        </is>
      </c>
      <c r="D12" s="2" t="inlineStr">
        <is>
          <t>Retail + E-Commerce</t>
        </is>
      </c>
      <c r="E12" s="2" t="inlineStr">
        <is>
          <t>Omnichannel</t>
        </is>
      </c>
      <c r="F12" s="2" t="inlineStr">
        <is>
          <t>VP Engineering</t>
        </is>
      </c>
      <c r="G12" s="2" t="inlineStr">
        <is>
          <t>Technology / Engineering</t>
        </is>
      </c>
      <c r="H12" s="3" t="inlineStr">
        <is>
          <t>Common</t>
        </is>
      </c>
      <c r="I12" s="3" t="inlineStr">
        <is>
          <t>Common</t>
        </is>
      </c>
      <c r="J12" s="3" t="inlineStr">
        <is>
          <t>Common</t>
        </is>
      </c>
      <c r="K12" s="5">
        <f>IF(NOT(OR(H12="Unique",I12="Unique",J12="Unique")),VLOOKUP(G12,'Role Families'!B:E,2,FALSE),IF(IF(VLOOKUP(G12,'Role Families'!B:E,2,FALSE)="Model",H12,IF(VLOOKUP(G12,'Role Families'!B:E,2,FALSE)="Industry",I12,J12))="Unique",VLOOKUP(G12,'Role Families'!B:E,2,FALSE),IF(IF(VLOOKUP(G12,'Role Families'!B:E,3,FALSE)="Model",H12,IF(VLOOKUP(G12,'Role Families'!B:E,3,FALSE)="Industry",I12,J12))="Unique",VLOOKUP(G12,'Role Families'!B:E,3,FALSE),VLOOKUP(G12,'Role Families'!B:E,4,FALSE))))</f>
        <v/>
      </c>
      <c r="L12" s="2">
        <f>IF(NOT(OR(H12="Unique",I12="Unique",J12="Unique")),VLOOKUP(G12,'Role Families'!B:E,3,FALSE),IF(IF(VLOOKUP(G12,'Role Families'!B:E,2,FALSE)="Model",H12,IF(VLOOKUP(G12,'Role Families'!B:E,2,FALSE)="Industry",I12,J12))="Unique",VLOOKUP(G12,'Role Families'!B:E,3,FALSE),VLOOKUP(G12,'Role Families'!B:E,2,FALSE)))</f>
        <v/>
      </c>
      <c r="M12" s="2">
        <f>IF(NOT(OR(H12="Unique",I12="Unique",J12="Unique")),VLOOKUP(G12,'Role Families'!B:E,4,FALSE),IF(IF(VLOOKUP(G12,'Role Families'!B:E,2,FALSE)="Model",H12,IF(VLOOKUP(G12,'Role Families'!B:E,2,FALSE)="Industry",I12,J12))="Unique",VLOOKUP(G12,'Role Families'!B:E,4,FALSE),IF(IF(VLOOKUP(G12,'Role Families'!B:E,3,FALSE)="Model",H12,IF(VLOOKUP(G12,'Role Families'!B:E,3,FALSE)="Industry",I12,J12))="Unique",VLOOKUP(G12,'Role Families'!B:E,4,FALSE),VLOOKUP(G12,'Role Families'!B:E,3,FALSE))))</f>
        <v/>
      </c>
    </row>
    <row r="13">
      <c r="A13" s="2" t="n">
        <v>12</v>
      </c>
      <c r="B13" s="2" t="inlineStr">
        <is>
          <t>Bombas</t>
        </is>
      </c>
      <c r="C13" s="2" t="inlineStr">
        <is>
          <t>Apparel / Socks</t>
        </is>
      </c>
      <c r="D13" s="2" t="inlineStr">
        <is>
          <t>E-Commerce</t>
        </is>
      </c>
      <c r="E13" s="2" t="inlineStr">
        <is>
          <t>Digital DTC</t>
        </is>
      </c>
      <c r="F13" s="2" t="inlineStr">
        <is>
          <t>Head of Data</t>
        </is>
      </c>
      <c r="G13" s="2" t="inlineStr">
        <is>
          <t>Data / Analytics</t>
        </is>
      </c>
      <c r="H13" s="3" t="inlineStr">
        <is>
          <t>Common</t>
        </is>
      </c>
      <c r="I13" s="3" t="inlineStr">
        <is>
          <t>Common</t>
        </is>
      </c>
      <c r="J13" s="3" t="inlineStr">
        <is>
          <t>Common</t>
        </is>
      </c>
      <c r="K13" s="5">
        <f>IF(NOT(OR(H13="Unique",I13="Unique",J13="Unique")),VLOOKUP(G13,'Role Families'!B:E,2,FALSE),IF(IF(VLOOKUP(G13,'Role Families'!B:E,2,FALSE)="Model",H13,IF(VLOOKUP(G13,'Role Families'!B:E,2,FALSE)="Industry",I13,J13))="Unique",VLOOKUP(G13,'Role Families'!B:E,2,FALSE),IF(IF(VLOOKUP(G13,'Role Families'!B:E,3,FALSE)="Model",H13,IF(VLOOKUP(G13,'Role Families'!B:E,3,FALSE)="Industry",I13,J13))="Unique",VLOOKUP(G13,'Role Families'!B:E,3,FALSE),VLOOKUP(G13,'Role Families'!B:E,4,FALSE))))</f>
        <v/>
      </c>
      <c r="L13" s="2">
        <f>IF(NOT(OR(H13="Unique",I13="Unique",J13="Unique")),VLOOKUP(G13,'Role Families'!B:E,3,FALSE),IF(IF(VLOOKUP(G13,'Role Families'!B:E,2,FALSE)="Model",H13,IF(VLOOKUP(G13,'Role Families'!B:E,2,FALSE)="Industry",I13,J13))="Unique",VLOOKUP(G13,'Role Families'!B:E,3,FALSE),VLOOKUP(G13,'Role Families'!B:E,2,FALSE)))</f>
        <v/>
      </c>
      <c r="M13" s="2">
        <f>IF(NOT(OR(H13="Unique",I13="Unique",J13="Unique")),VLOOKUP(G13,'Role Families'!B:E,4,FALSE),IF(IF(VLOOKUP(G13,'Role Families'!B:E,2,FALSE)="Model",H13,IF(VLOOKUP(G13,'Role Families'!B:E,2,FALSE)="Industry",I13,J13))="Unique",VLOOKUP(G13,'Role Families'!B:E,4,FALSE),IF(IF(VLOOKUP(G13,'Role Families'!B:E,3,FALSE)="Model",H13,IF(VLOOKUP(G13,'Role Families'!B:E,3,FALSE)="Industry",I13,J13))="Unique",VLOOKUP(G13,'Role Families'!B:E,4,FALSE),VLOOKUP(G13,'Role Families'!B:E,3,FALSE))))</f>
        <v/>
      </c>
    </row>
    <row r="14">
      <c r="A14" s="2" t="n">
        <v>13</v>
      </c>
      <c r="B14" s="2" t="inlineStr">
        <is>
          <t>Rent the Runway</t>
        </is>
      </c>
      <c r="C14" s="2" t="inlineStr">
        <is>
          <t>Fashion</t>
        </is>
      </c>
      <c r="D14" s="2" t="inlineStr">
        <is>
          <t>Subscription (Rental)</t>
        </is>
      </c>
      <c r="E14" s="2" t="inlineStr">
        <is>
          <t>Digital Platform</t>
        </is>
      </c>
      <c r="F14" s="2" t="inlineStr">
        <is>
          <t>CFO</t>
        </is>
      </c>
      <c r="G14" s="2" t="inlineStr">
        <is>
          <t>Finance / Accounting</t>
        </is>
      </c>
      <c r="H14" s="4" t="inlineStr">
        <is>
          <t>Unique</t>
        </is>
      </c>
      <c r="I14" s="3" t="inlineStr">
        <is>
          <t>Common</t>
        </is>
      </c>
      <c r="J14" s="3" t="inlineStr">
        <is>
          <t>Common</t>
        </is>
      </c>
      <c r="K14" s="5">
        <f>IF(NOT(OR(H14="Unique",I14="Unique",J14="Unique")),VLOOKUP(G14,'Role Families'!B:E,2,FALSE),IF(IF(VLOOKUP(G14,'Role Families'!B:E,2,FALSE)="Model",H14,IF(VLOOKUP(G14,'Role Families'!B:E,2,FALSE)="Industry",I14,J14))="Unique",VLOOKUP(G14,'Role Families'!B:E,2,FALSE),IF(IF(VLOOKUP(G14,'Role Families'!B:E,3,FALSE)="Model",H14,IF(VLOOKUP(G14,'Role Families'!B:E,3,FALSE)="Industry",I14,J14))="Unique",VLOOKUP(G14,'Role Families'!B:E,3,FALSE),VLOOKUP(G14,'Role Families'!B:E,4,FALSE))))</f>
        <v/>
      </c>
      <c r="L14" s="2">
        <f>IF(NOT(OR(H14="Unique",I14="Unique",J14="Unique")),VLOOKUP(G14,'Role Families'!B:E,3,FALSE),IF(IF(VLOOKUP(G14,'Role Families'!B:E,2,FALSE)="Model",H14,IF(VLOOKUP(G14,'Role Families'!B:E,2,FALSE)="Industry",I14,J14))="Unique",VLOOKUP(G14,'Role Families'!B:E,3,FALSE),VLOOKUP(G14,'Role Families'!B:E,2,FALSE)))</f>
        <v/>
      </c>
      <c r="M14" s="2">
        <f>IF(NOT(OR(H14="Unique",I14="Unique",J14="Unique")),VLOOKUP(G14,'Role Families'!B:E,4,FALSE),IF(IF(VLOOKUP(G14,'Role Families'!B:E,2,FALSE)="Model",H14,IF(VLOOKUP(G14,'Role Families'!B:E,2,FALSE)="Industry",I14,J14))="Unique",VLOOKUP(G14,'Role Families'!B:E,4,FALSE),IF(IF(VLOOKUP(G14,'Role Families'!B:E,3,FALSE)="Model",H14,IF(VLOOKUP(G14,'Role Families'!B:E,3,FALSE)="Industry",I14,J14))="Unique",VLOOKUP(G14,'Role Families'!B:E,4,FALSE),VLOOKUP(G14,'Role Families'!B:E,3,FALSE))))</f>
        <v/>
      </c>
    </row>
    <row r="15">
      <c r="A15" s="2" t="n">
        <v>14</v>
      </c>
      <c r="B15" s="2" t="inlineStr">
        <is>
          <t>Rent the Runway</t>
        </is>
      </c>
      <c r="C15" s="2" t="inlineStr">
        <is>
          <t>Fashion</t>
        </is>
      </c>
      <c r="D15" s="2" t="inlineStr">
        <is>
          <t>Subscription (Rental)</t>
        </is>
      </c>
      <c r="E15" s="2" t="inlineStr">
        <is>
          <t>Digital Platform</t>
        </is>
      </c>
      <c r="F15" s="2" t="inlineStr">
        <is>
          <t>VP Logistics</t>
        </is>
      </c>
      <c r="G15" s="2" t="inlineStr">
        <is>
          <t>Supply Chain / Logistics</t>
        </is>
      </c>
      <c r="H15" s="4" t="inlineStr">
        <is>
          <t>Unique</t>
        </is>
      </c>
      <c r="I15" s="3" t="inlineStr">
        <is>
          <t>Common</t>
        </is>
      </c>
      <c r="J15" s="3" t="inlineStr">
        <is>
          <t>Common</t>
        </is>
      </c>
      <c r="K15" s="5">
        <f>IF(NOT(OR(H15="Unique",I15="Unique",J15="Unique")),VLOOKUP(G15,'Role Families'!B:E,2,FALSE),IF(IF(VLOOKUP(G15,'Role Families'!B:E,2,FALSE)="Model",H15,IF(VLOOKUP(G15,'Role Families'!B:E,2,FALSE)="Industry",I15,J15))="Unique",VLOOKUP(G15,'Role Families'!B:E,2,FALSE),IF(IF(VLOOKUP(G15,'Role Families'!B:E,3,FALSE)="Model",H15,IF(VLOOKUP(G15,'Role Families'!B:E,3,FALSE)="Industry",I15,J15))="Unique",VLOOKUP(G15,'Role Families'!B:E,3,FALSE),VLOOKUP(G15,'Role Families'!B:E,4,FALSE))))</f>
        <v/>
      </c>
      <c r="L15" s="2">
        <f>IF(NOT(OR(H15="Unique",I15="Unique",J15="Unique")),VLOOKUP(G15,'Role Families'!B:E,3,FALSE),IF(IF(VLOOKUP(G15,'Role Families'!B:E,2,FALSE)="Model",H15,IF(VLOOKUP(G15,'Role Families'!B:E,2,FALSE)="Industry",I15,J15))="Unique",VLOOKUP(G15,'Role Families'!B:E,3,FALSE),VLOOKUP(G15,'Role Families'!B:E,2,FALSE)))</f>
        <v/>
      </c>
      <c r="M15" s="2">
        <f>IF(NOT(OR(H15="Unique",I15="Unique",J15="Unique")),VLOOKUP(G15,'Role Families'!B:E,4,FALSE),IF(IF(VLOOKUP(G15,'Role Families'!B:E,2,FALSE)="Model",H15,IF(VLOOKUP(G15,'Role Families'!B:E,2,FALSE)="Industry",I15,J15))="Unique",VLOOKUP(G15,'Role Families'!B:E,4,FALSE),IF(IF(VLOOKUP(G15,'Role Families'!B:E,3,FALSE)="Model",H15,IF(VLOOKUP(G15,'Role Families'!B:E,3,FALSE)="Industry",I15,J15))="Unique",VLOOKUP(G15,'Role Families'!B:E,4,FALSE),VLOOKUP(G15,'Role Families'!B:E,3,FALSE))))</f>
        <v/>
      </c>
    </row>
    <row r="16">
      <c r="A16" s="2" t="n">
        <v>15</v>
      </c>
      <c r="B16" s="2" t="inlineStr">
        <is>
          <t>Sweetgreen</t>
        </is>
      </c>
      <c r="C16" s="2" t="inlineStr">
        <is>
          <t>Fast Casual / F&amp;B</t>
        </is>
      </c>
      <c r="D16" s="2" t="inlineStr">
        <is>
          <t>Ad Hoc Commerce</t>
        </is>
      </c>
      <c r="E16" s="2" t="inlineStr">
        <is>
          <t>Multi-unit Four-wall</t>
        </is>
      </c>
      <c r="F16" s="2" t="inlineStr">
        <is>
          <t>COO</t>
        </is>
      </c>
      <c r="G16" s="2" t="inlineStr">
        <is>
          <t>Operations / General Mgmt</t>
        </is>
      </c>
      <c r="H16" s="3" t="inlineStr">
        <is>
          <t>Common</t>
        </is>
      </c>
      <c r="I16" s="3" t="inlineStr">
        <is>
          <t>Common</t>
        </is>
      </c>
      <c r="J16" s="3" t="inlineStr">
        <is>
          <t>Common</t>
        </is>
      </c>
      <c r="K16" s="5">
        <f>IF(NOT(OR(H16="Unique",I16="Unique",J16="Unique")),VLOOKUP(G16,'Role Families'!B:E,2,FALSE),IF(IF(VLOOKUP(G16,'Role Families'!B:E,2,FALSE)="Model",H16,IF(VLOOKUP(G16,'Role Families'!B:E,2,FALSE)="Industry",I16,J16))="Unique",VLOOKUP(G16,'Role Families'!B:E,2,FALSE),IF(IF(VLOOKUP(G16,'Role Families'!B:E,3,FALSE)="Model",H16,IF(VLOOKUP(G16,'Role Families'!B:E,3,FALSE)="Industry",I16,J16))="Unique",VLOOKUP(G16,'Role Families'!B:E,3,FALSE),VLOOKUP(G16,'Role Families'!B:E,4,FALSE))))</f>
        <v/>
      </c>
      <c r="L16" s="2">
        <f>IF(NOT(OR(H16="Unique",I16="Unique",J16="Unique")),VLOOKUP(G16,'Role Families'!B:E,3,FALSE),IF(IF(VLOOKUP(G16,'Role Families'!B:E,2,FALSE)="Model",H16,IF(VLOOKUP(G16,'Role Families'!B:E,2,FALSE)="Industry",I16,J16))="Unique",VLOOKUP(G16,'Role Families'!B:E,3,FALSE),VLOOKUP(G16,'Role Families'!B:E,2,FALSE)))</f>
        <v/>
      </c>
      <c r="M16" s="2">
        <f>IF(NOT(OR(H16="Unique",I16="Unique",J16="Unique")),VLOOKUP(G16,'Role Families'!B:E,4,FALSE),IF(IF(VLOOKUP(G16,'Role Families'!B:E,2,FALSE)="Model",H16,IF(VLOOKUP(G16,'Role Families'!B:E,2,FALSE)="Industry",I16,J16))="Unique",VLOOKUP(G16,'Role Families'!B:E,4,FALSE),IF(IF(VLOOKUP(G16,'Role Families'!B:E,3,FALSE)="Model",H16,IF(VLOOKUP(G16,'Role Families'!B:E,3,FALSE)="Industry",I16,J16))="Unique",VLOOKUP(G16,'Role Families'!B:E,4,FALSE),VLOOKUP(G16,'Role Families'!B:E,3,FALSE))))</f>
        <v/>
      </c>
    </row>
    <row r="17">
      <c r="A17" s="2" t="n">
        <v>16</v>
      </c>
      <c r="B17" s="2" t="inlineStr">
        <is>
          <t>Sweetgreen</t>
        </is>
      </c>
      <c r="C17" s="2" t="inlineStr">
        <is>
          <t>Fast Casual / F&amp;B</t>
        </is>
      </c>
      <c r="D17" s="2" t="inlineStr">
        <is>
          <t>Ad Hoc Commerce</t>
        </is>
      </c>
      <c r="E17" s="2" t="inlineStr">
        <is>
          <t>Multi-unit Four-wall</t>
        </is>
      </c>
      <c r="F17" s="2" t="inlineStr">
        <is>
          <t>VP People</t>
        </is>
      </c>
      <c r="G17" s="2" t="inlineStr">
        <is>
          <t>People / HR</t>
        </is>
      </c>
      <c r="H17" s="3" t="inlineStr">
        <is>
          <t>Common</t>
        </is>
      </c>
      <c r="I17" s="3" t="inlineStr">
        <is>
          <t>Common</t>
        </is>
      </c>
      <c r="J17" s="3" t="inlineStr">
        <is>
          <t>Common</t>
        </is>
      </c>
      <c r="K17" s="5">
        <f>IF(NOT(OR(H17="Unique",I17="Unique",J17="Unique")),VLOOKUP(G17,'Role Families'!B:E,2,FALSE),IF(IF(VLOOKUP(G17,'Role Families'!B:E,2,FALSE)="Model",H17,IF(VLOOKUP(G17,'Role Families'!B:E,2,FALSE)="Industry",I17,J17))="Unique",VLOOKUP(G17,'Role Families'!B:E,2,FALSE),IF(IF(VLOOKUP(G17,'Role Families'!B:E,3,FALSE)="Model",H17,IF(VLOOKUP(G17,'Role Families'!B:E,3,FALSE)="Industry",I17,J17))="Unique",VLOOKUP(G17,'Role Families'!B:E,3,FALSE),VLOOKUP(G17,'Role Families'!B:E,4,FALSE))))</f>
        <v/>
      </c>
      <c r="L17" s="2">
        <f>IF(NOT(OR(H17="Unique",I17="Unique",J17="Unique")),VLOOKUP(G17,'Role Families'!B:E,3,FALSE),IF(IF(VLOOKUP(G17,'Role Families'!B:E,2,FALSE)="Model",H17,IF(VLOOKUP(G17,'Role Families'!B:E,2,FALSE)="Industry",I17,J17))="Unique",VLOOKUP(G17,'Role Families'!B:E,3,FALSE),VLOOKUP(G17,'Role Families'!B:E,2,FALSE)))</f>
        <v/>
      </c>
      <c r="M17" s="2">
        <f>IF(NOT(OR(H17="Unique",I17="Unique",J17="Unique")),VLOOKUP(G17,'Role Families'!B:E,4,FALSE),IF(IF(VLOOKUP(G17,'Role Families'!B:E,2,FALSE)="Model",H17,IF(VLOOKUP(G17,'Role Families'!B:E,2,FALSE)="Industry",I17,J17))="Unique",VLOOKUP(G17,'Role Families'!B:E,4,FALSE),IF(IF(VLOOKUP(G17,'Role Families'!B:E,3,FALSE)="Model",H17,IF(VLOOKUP(G17,'Role Families'!B:E,3,FALSE)="Industry",I17,J17))="Unique",VLOOKUP(G17,'Role Families'!B:E,4,FALSE),VLOOKUP(G17,'Role Families'!B:E,3,FALSE))))</f>
        <v/>
      </c>
    </row>
    <row r="18">
      <c r="A18" s="2" t="n">
        <v>17</v>
      </c>
      <c r="B18" s="2" t="inlineStr">
        <is>
          <t>Shake Shack</t>
        </is>
      </c>
      <c r="C18" s="2" t="inlineStr">
        <is>
          <t>Fast Casual / F&amp;B</t>
        </is>
      </c>
      <c r="D18" s="2" t="inlineStr">
        <is>
          <t>Ad Hoc Commerce</t>
        </is>
      </c>
      <c r="E18" s="2" t="inlineStr">
        <is>
          <t>Multi-unit Four-wall</t>
        </is>
      </c>
      <c r="F18" s="2" t="inlineStr">
        <is>
          <t>CFO</t>
        </is>
      </c>
      <c r="G18" s="2" t="inlineStr">
        <is>
          <t>Finance / Accounting</t>
        </is>
      </c>
      <c r="H18" s="3" t="inlineStr">
        <is>
          <t>Common</t>
        </is>
      </c>
      <c r="I18" s="3" t="inlineStr">
        <is>
          <t>Common</t>
        </is>
      </c>
      <c r="J18" s="3" t="inlineStr">
        <is>
          <t>Common</t>
        </is>
      </c>
      <c r="K18" s="5">
        <f>IF(NOT(OR(H18="Unique",I18="Unique",J18="Unique")),VLOOKUP(G18,'Role Families'!B:E,2,FALSE),IF(IF(VLOOKUP(G18,'Role Families'!B:E,2,FALSE)="Model",H18,IF(VLOOKUP(G18,'Role Families'!B:E,2,FALSE)="Industry",I18,J18))="Unique",VLOOKUP(G18,'Role Families'!B:E,2,FALSE),IF(IF(VLOOKUP(G18,'Role Families'!B:E,3,FALSE)="Model",H18,IF(VLOOKUP(G18,'Role Families'!B:E,3,FALSE)="Industry",I18,J18))="Unique",VLOOKUP(G18,'Role Families'!B:E,3,FALSE),VLOOKUP(G18,'Role Families'!B:E,4,FALSE))))</f>
        <v/>
      </c>
      <c r="L18" s="2">
        <f>IF(NOT(OR(H18="Unique",I18="Unique",J18="Unique")),VLOOKUP(G18,'Role Families'!B:E,3,FALSE),IF(IF(VLOOKUP(G18,'Role Families'!B:E,2,FALSE)="Model",H18,IF(VLOOKUP(G18,'Role Families'!B:E,2,FALSE)="Industry",I18,J18))="Unique",VLOOKUP(G18,'Role Families'!B:E,3,FALSE),VLOOKUP(G18,'Role Families'!B:E,2,FALSE)))</f>
        <v/>
      </c>
      <c r="M18" s="2">
        <f>IF(NOT(OR(H18="Unique",I18="Unique",J18="Unique")),VLOOKUP(G18,'Role Families'!B:E,4,FALSE),IF(IF(VLOOKUP(G18,'Role Families'!B:E,2,FALSE)="Model",H18,IF(VLOOKUP(G18,'Role Families'!B:E,2,FALSE)="Industry",I18,J18))="Unique",VLOOKUP(G18,'Role Families'!B:E,4,FALSE),IF(IF(VLOOKUP(G18,'Role Families'!B:E,3,FALSE)="Model",H18,IF(VLOOKUP(G18,'Role Families'!B:E,3,FALSE)="Industry",I18,J18))="Unique",VLOOKUP(G18,'Role Families'!B:E,4,FALSE),VLOOKUP(G18,'Role Families'!B:E,3,FALSE))))</f>
        <v/>
      </c>
    </row>
    <row r="19">
      <c r="A19" s="2" t="n">
        <v>18</v>
      </c>
      <c r="B19" s="2" t="inlineStr">
        <is>
          <t>Shake Shack</t>
        </is>
      </c>
      <c r="C19" s="2" t="inlineStr">
        <is>
          <t>Fast Casual / F&amp;B</t>
        </is>
      </c>
      <c r="D19" s="2" t="inlineStr">
        <is>
          <t>Ad Hoc Commerce</t>
        </is>
      </c>
      <c r="E19" s="2" t="inlineStr">
        <is>
          <t>Multi-unit Four-wall</t>
        </is>
      </c>
      <c r="F19" s="2" t="inlineStr">
        <is>
          <t>VP Marketing</t>
        </is>
      </c>
      <c r="G19" s="2" t="inlineStr">
        <is>
          <t>Marketing / Brand</t>
        </is>
      </c>
      <c r="H19" s="3" t="inlineStr">
        <is>
          <t>Common</t>
        </is>
      </c>
      <c r="I19" s="3" t="inlineStr">
        <is>
          <t>Common</t>
        </is>
      </c>
      <c r="J19" s="3" t="inlineStr">
        <is>
          <t>Common</t>
        </is>
      </c>
      <c r="K19" s="5">
        <f>IF(NOT(OR(H19="Unique",I19="Unique",J19="Unique")),VLOOKUP(G19,'Role Families'!B:E,2,FALSE),IF(IF(VLOOKUP(G19,'Role Families'!B:E,2,FALSE)="Model",H19,IF(VLOOKUP(G19,'Role Families'!B:E,2,FALSE)="Industry",I19,J19))="Unique",VLOOKUP(G19,'Role Families'!B:E,2,FALSE),IF(IF(VLOOKUP(G19,'Role Families'!B:E,3,FALSE)="Model",H19,IF(VLOOKUP(G19,'Role Families'!B:E,3,FALSE)="Industry",I19,J19))="Unique",VLOOKUP(G19,'Role Families'!B:E,3,FALSE),VLOOKUP(G19,'Role Families'!B:E,4,FALSE))))</f>
        <v/>
      </c>
      <c r="L19" s="2">
        <f>IF(NOT(OR(H19="Unique",I19="Unique",J19="Unique")),VLOOKUP(G19,'Role Families'!B:E,3,FALSE),IF(IF(VLOOKUP(G19,'Role Families'!B:E,2,FALSE)="Model",H19,IF(VLOOKUP(G19,'Role Families'!B:E,2,FALSE)="Industry",I19,J19))="Unique",VLOOKUP(G19,'Role Families'!B:E,3,FALSE),VLOOKUP(G19,'Role Families'!B:E,2,FALSE)))</f>
        <v/>
      </c>
      <c r="M19" s="2">
        <f>IF(NOT(OR(H19="Unique",I19="Unique",J19="Unique")),VLOOKUP(G19,'Role Families'!B:E,4,FALSE),IF(IF(VLOOKUP(G19,'Role Families'!B:E,2,FALSE)="Model",H19,IF(VLOOKUP(G19,'Role Families'!B:E,2,FALSE)="Industry",I19,J19))="Unique",VLOOKUP(G19,'Role Families'!B:E,4,FALSE),IF(IF(VLOOKUP(G19,'Role Families'!B:E,3,FALSE)="Model",H19,IF(VLOOKUP(G19,'Role Families'!B:E,3,FALSE)="Industry",I19,J19))="Unique",VLOOKUP(G19,'Role Families'!B:E,4,FALSE),VLOOKUP(G19,'Role Families'!B:E,3,FALSE))))</f>
        <v/>
      </c>
    </row>
    <row r="20">
      <c r="A20" s="2" t="n">
        <v>19</v>
      </c>
      <c r="B20" s="2" t="inlineStr">
        <is>
          <t>Panera Bread</t>
        </is>
      </c>
      <c r="C20" s="2" t="inlineStr">
        <is>
          <t>Fast Casual / F&amp;B</t>
        </is>
      </c>
      <c r="D20" s="2" t="inlineStr">
        <is>
          <t>Ad Hoc Commerce + Subscription</t>
        </is>
      </c>
      <c r="E20" s="2" t="inlineStr">
        <is>
          <t>Multi-unit Four-wall</t>
        </is>
      </c>
      <c r="F20" s="2" t="inlineStr">
        <is>
          <t>President</t>
        </is>
      </c>
      <c r="G20" s="2" t="inlineStr">
        <is>
          <t>Operations / General Mgmt</t>
        </is>
      </c>
      <c r="H20" s="3" t="inlineStr">
        <is>
          <t>Common</t>
        </is>
      </c>
      <c r="I20" s="3" t="inlineStr">
        <is>
          <t>Common</t>
        </is>
      </c>
      <c r="J20" s="3" t="inlineStr">
        <is>
          <t>Common</t>
        </is>
      </c>
      <c r="K20" s="5">
        <f>IF(NOT(OR(H20="Unique",I20="Unique",J20="Unique")),VLOOKUP(G20,'Role Families'!B:E,2,FALSE),IF(IF(VLOOKUP(G20,'Role Families'!B:E,2,FALSE)="Model",H20,IF(VLOOKUP(G20,'Role Families'!B:E,2,FALSE)="Industry",I20,J20))="Unique",VLOOKUP(G20,'Role Families'!B:E,2,FALSE),IF(IF(VLOOKUP(G20,'Role Families'!B:E,3,FALSE)="Model",H20,IF(VLOOKUP(G20,'Role Families'!B:E,3,FALSE)="Industry",I20,J20))="Unique",VLOOKUP(G20,'Role Families'!B:E,3,FALSE),VLOOKUP(G20,'Role Families'!B:E,4,FALSE))))</f>
        <v/>
      </c>
      <c r="L20" s="2">
        <f>IF(NOT(OR(H20="Unique",I20="Unique",J20="Unique")),VLOOKUP(G20,'Role Families'!B:E,3,FALSE),IF(IF(VLOOKUP(G20,'Role Families'!B:E,2,FALSE)="Model",H20,IF(VLOOKUP(G20,'Role Families'!B:E,2,FALSE)="Industry",I20,J20))="Unique",VLOOKUP(G20,'Role Families'!B:E,3,FALSE),VLOOKUP(G20,'Role Families'!B:E,2,FALSE)))</f>
        <v/>
      </c>
      <c r="M20" s="2">
        <f>IF(NOT(OR(H20="Unique",I20="Unique",J20="Unique")),VLOOKUP(G20,'Role Families'!B:E,4,FALSE),IF(IF(VLOOKUP(G20,'Role Families'!B:E,2,FALSE)="Model",H20,IF(VLOOKUP(G20,'Role Families'!B:E,2,FALSE)="Industry",I20,J20))="Unique",VLOOKUP(G20,'Role Families'!B:E,4,FALSE),IF(IF(VLOOKUP(G20,'Role Families'!B:E,3,FALSE)="Model",H20,IF(VLOOKUP(G20,'Role Families'!B:E,3,FALSE)="Industry",I20,J20))="Unique",VLOOKUP(G20,'Role Families'!B:E,4,FALSE),VLOOKUP(G20,'Role Families'!B:E,3,FALSE))))</f>
        <v/>
      </c>
    </row>
    <row r="21">
      <c r="A21" s="2" t="n">
        <v>20</v>
      </c>
      <c r="B21" s="2" t="inlineStr">
        <is>
          <t>Blue Apron</t>
        </is>
      </c>
      <c r="C21" s="2" t="inlineStr">
        <is>
          <t>Meal Kits / F&amp;B</t>
        </is>
      </c>
      <c r="D21" s="2" t="inlineStr">
        <is>
          <t>Subscription</t>
        </is>
      </c>
      <c r="E21" s="2" t="inlineStr">
        <is>
          <t>Digital DTC</t>
        </is>
      </c>
      <c r="F21" s="2" t="inlineStr">
        <is>
          <t>VP Engineering</t>
        </is>
      </c>
      <c r="G21" s="2" t="inlineStr">
        <is>
          <t>Technology / Engineering</t>
        </is>
      </c>
      <c r="H21" s="3" t="inlineStr">
        <is>
          <t>Common</t>
        </is>
      </c>
      <c r="I21" s="3" t="inlineStr">
        <is>
          <t>Common</t>
        </is>
      </c>
      <c r="J21" s="3" t="inlineStr">
        <is>
          <t>Common</t>
        </is>
      </c>
      <c r="K21" s="5">
        <f>IF(NOT(OR(H21="Unique",I21="Unique",J21="Unique")),VLOOKUP(G21,'Role Families'!B:E,2,FALSE),IF(IF(VLOOKUP(G21,'Role Families'!B:E,2,FALSE)="Model",H21,IF(VLOOKUP(G21,'Role Families'!B:E,2,FALSE)="Industry",I21,J21))="Unique",VLOOKUP(G21,'Role Families'!B:E,2,FALSE),IF(IF(VLOOKUP(G21,'Role Families'!B:E,3,FALSE)="Model",H21,IF(VLOOKUP(G21,'Role Families'!B:E,3,FALSE)="Industry",I21,J21))="Unique",VLOOKUP(G21,'Role Families'!B:E,3,FALSE),VLOOKUP(G21,'Role Families'!B:E,4,FALSE))))</f>
        <v/>
      </c>
      <c r="L21" s="2">
        <f>IF(NOT(OR(H21="Unique",I21="Unique",J21="Unique")),VLOOKUP(G21,'Role Families'!B:E,3,FALSE),IF(IF(VLOOKUP(G21,'Role Families'!B:E,2,FALSE)="Model",H21,IF(VLOOKUP(G21,'Role Families'!B:E,2,FALSE)="Industry",I21,J21))="Unique",VLOOKUP(G21,'Role Families'!B:E,3,FALSE),VLOOKUP(G21,'Role Families'!B:E,2,FALSE)))</f>
        <v/>
      </c>
      <c r="M21" s="2">
        <f>IF(NOT(OR(H21="Unique",I21="Unique",J21="Unique")),VLOOKUP(G21,'Role Families'!B:E,4,FALSE),IF(IF(VLOOKUP(G21,'Role Families'!B:E,2,FALSE)="Model",H21,IF(VLOOKUP(G21,'Role Families'!B:E,2,FALSE)="Industry",I21,J21))="Unique",VLOOKUP(G21,'Role Families'!B:E,4,FALSE),IF(IF(VLOOKUP(G21,'Role Families'!B:E,3,FALSE)="Model",H21,IF(VLOOKUP(G21,'Role Families'!B:E,3,FALSE)="Industry",I21,J21))="Unique",VLOOKUP(G21,'Role Families'!B:E,4,FALSE),VLOOKUP(G21,'Role Families'!B:E,3,FALSE))))</f>
        <v/>
      </c>
    </row>
    <row r="22">
      <c r="A22" s="2" t="n">
        <v>21</v>
      </c>
      <c r="B22" s="2" t="inlineStr">
        <is>
          <t>Liquid Death</t>
        </is>
      </c>
      <c r="C22" s="2" t="inlineStr">
        <is>
          <t>Beverages / Water</t>
        </is>
      </c>
      <c r="D22" s="2" t="inlineStr">
        <is>
          <t>Wholesale + E-Commerce</t>
        </is>
      </c>
      <c r="E22" s="2" t="inlineStr">
        <is>
          <t>Omnichannel</t>
        </is>
      </c>
      <c r="F22" s="2" t="inlineStr">
        <is>
          <t>CMO</t>
        </is>
      </c>
      <c r="G22" s="2" t="inlineStr">
        <is>
          <t>Marketing / Brand</t>
        </is>
      </c>
      <c r="H22" s="3" t="inlineStr">
        <is>
          <t>Common</t>
        </is>
      </c>
      <c r="I22" s="3" t="inlineStr">
        <is>
          <t>Common</t>
        </is>
      </c>
      <c r="J22" s="3" t="inlineStr">
        <is>
          <t>Common</t>
        </is>
      </c>
      <c r="K22" s="5">
        <f>IF(NOT(OR(H22="Unique",I22="Unique",J22="Unique")),VLOOKUP(G22,'Role Families'!B:E,2,FALSE),IF(IF(VLOOKUP(G22,'Role Families'!B:E,2,FALSE)="Model",H22,IF(VLOOKUP(G22,'Role Families'!B:E,2,FALSE)="Industry",I22,J22))="Unique",VLOOKUP(G22,'Role Families'!B:E,2,FALSE),IF(IF(VLOOKUP(G22,'Role Families'!B:E,3,FALSE)="Model",H22,IF(VLOOKUP(G22,'Role Families'!B:E,3,FALSE)="Industry",I22,J22))="Unique",VLOOKUP(G22,'Role Families'!B:E,3,FALSE),VLOOKUP(G22,'Role Families'!B:E,4,FALSE))))</f>
        <v/>
      </c>
      <c r="L22" s="2">
        <f>IF(NOT(OR(H22="Unique",I22="Unique",J22="Unique")),VLOOKUP(G22,'Role Families'!B:E,3,FALSE),IF(IF(VLOOKUP(G22,'Role Families'!B:E,2,FALSE)="Model",H22,IF(VLOOKUP(G22,'Role Families'!B:E,2,FALSE)="Industry",I22,J22))="Unique",VLOOKUP(G22,'Role Families'!B:E,3,FALSE),VLOOKUP(G22,'Role Families'!B:E,2,FALSE)))</f>
        <v/>
      </c>
      <c r="M22" s="2">
        <f>IF(NOT(OR(H22="Unique",I22="Unique",J22="Unique")),VLOOKUP(G22,'Role Families'!B:E,4,FALSE),IF(IF(VLOOKUP(G22,'Role Families'!B:E,2,FALSE)="Model",H22,IF(VLOOKUP(G22,'Role Families'!B:E,2,FALSE)="Industry",I22,J22))="Unique",VLOOKUP(G22,'Role Families'!B:E,4,FALSE),IF(IF(VLOOKUP(G22,'Role Families'!B:E,3,FALSE)="Model",H22,IF(VLOOKUP(G22,'Role Families'!B:E,3,FALSE)="Industry",I22,J22))="Unique",VLOOKUP(G22,'Role Families'!B:E,4,FALSE),VLOOKUP(G22,'Role Families'!B:E,3,FALSE))))</f>
        <v/>
      </c>
    </row>
    <row r="23">
      <c r="A23" s="2" t="n">
        <v>22</v>
      </c>
      <c r="B23" s="2" t="inlineStr">
        <is>
          <t>Athletic Brewing</t>
        </is>
      </c>
      <c r="C23" s="2" t="inlineStr">
        <is>
          <t>Non-Alcoholic Beer</t>
        </is>
      </c>
      <c r="D23" s="2" t="inlineStr">
        <is>
          <t>Wholesale + E-Commerce</t>
        </is>
      </c>
      <c r="E23" s="2" t="inlineStr">
        <is>
          <t>Omnichannel</t>
        </is>
      </c>
      <c r="F23" s="2" t="inlineStr">
        <is>
          <t>CFO</t>
        </is>
      </c>
      <c r="G23" s="2" t="inlineStr">
        <is>
          <t>Finance / Accounting</t>
        </is>
      </c>
      <c r="H23" s="3" t="inlineStr">
        <is>
          <t>Common</t>
        </is>
      </c>
      <c r="I23" s="4" t="inlineStr">
        <is>
          <t>Unique</t>
        </is>
      </c>
      <c r="J23" s="3" t="inlineStr">
        <is>
          <t>Common</t>
        </is>
      </c>
      <c r="K23" s="5">
        <f>IF(NOT(OR(H23="Unique",I23="Unique",J23="Unique")),VLOOKUP(G23,'Role Families'!B:E,2,FALSE),IF(IF(VLOOKUP(G23,'Role Families'!B:E,2,FALSE)="Model",H23,IF(VLOOKUP(G23,'Role Families'!B:E,2,FALSE)="Industry",I23,J23))="Unique",VLOOKUP(G23,'Role Families'!B:E,2,FALSE),IF(IF(VLOOKUP(G23,'Role Families'!B:E,3,FALSE)="Model",H23,IF(VLOOKUP(G23,'Role Families'!B:E,3,FALSE)="Industry",I23,J23))="Unique",VLOOKUP(G23,'Role Families'!B:E,3,FALSE),VLOOKUP(G23,'Role Families'!B:E,4,FALSE))))</f>
        <v/>
      </c>
      <c r="L23" s="2">
        <f>IF(NOT(OR(H23="Unique",I23="Unique",J23="Unique")),VLOOKUP(G23,'Role Families'!B:E,3,FALSE),IF(IF(VLOOKUP(G23,'Role Families'!B:E,2,FALSE)="Model",H23,IF(VLOOKUP(G23,'Role Families'!B:E,2,FALSE)="Industry",I23,J23))="Unique",VLOOKUP(G23,'Role Families'!B:E,3,FALSE),VLOOKUP(G23,'Role Families'!B:E,2,FALSE)))</f>
        <v/>
      </c>
      <c r="M23" s="2">
        <f>IF(NOT(OR(H23="Unique",I23="Unique",J23="Unique")),VLOOKUP(G23,'Role Families'!B:E,4,FALSE),IF(IF(VLOOKUP(G23,'Role Families'!B:E,2,FALSE)="Model",H23,IF(VLOOKUP(G23,'Role Families'!B:E,2,FALSE)="Industry",I23,J23))="Unique",VLOOKUP(G23,'Role Families'!B:E,4,FALSE),IF(IF(VLOOKUP(G23,'Role Families'!B:E,3,FALSE)="Model",H23,IF(VLOOKUP(G23,'Role Families'!B:E,3,FALSE)="Industry",I23,J23))="Unique",VLOOKUP(G23,'Role Families'!B:E,4,FALSE),VLOOKUP(G23,'Role Families'!B:E,3,FALSE))))</f>
        <v/>
      </c>
    </row>
    <row r="24">
      <c r="A24" s="2" t="n">
        <v>23</v>
      </c>
      <c r="B24" s="2" t="inlineStr">
        <is>
          <t>Athletic Brewing</t>
        </is>
      </c>
      <c r="C24" s="2" t="inlineStr">
        <is>
          <t>Non-Alcoholic Beer</t>
        </is>
      </c>
      <c r="D24" s="2" t="inlineStr">
        <is>
          <t>Wholesale + E-Commerce</t>
        </is>
      </c>
      <c r="E24" s="2" t="inlineStr">
        <is>
          <t>Omnichannel</t>
        </is>
      </c>
      <c r="F24" s="2" t="inlineStr">
        <is>
          <t>VP Sales</t>
        </is>
      </c>
      <c r="G24" s="2" t="inlineStr">
        <is>
          <t>Sales / Revenue</t>
        </is>
      </c>
      <c r="H24" s="3" t="inlineStr">
        <is>
          <t>Common</t>
        </is>
      </c>
      <c r="I24" s="4" t="inlineStr">
        <is>
          <t>Unique</t>
        </is>
      </c>
      <c r="J24" s="3" t="inlineStr">
        <is>
          <t>Common</t>
        </is>
      </c>
      <c r="K24" s="5">
        <f>IF(NOT(OR(H24="Unique",I24="Unique",J24="Unique")),VLOOKUP(G24,'Role Families'!B:E,2,FALSE),IF(IF(VLOOKUP(G24,'Role Families'!B:E,2,FALSE)="Model",H24,IF(VLOOKUP(G24,'Role Families'!B:E,2,FALSE)="Industry",I24,J24))="Unique",VLOOKUP(G24,'Role Families'!B:E,2,FALSE),IF(IF(VLOOKUP(G24,'Role Families'!B:E,3,FALSE)="Model",H24,IF(VLOOKUP(G24,'Role Families'!B:E,3,FALSE)="Industry",I24,J24))="Unique",VLOOKUP(G24,'Role Families'!B:E,3,FALSE),VLOOKUP(G24,'Role Families'!B:E,4,FALSE))))</f>
        <v/>
      </c>
      <c r="L24" s="2">
        <f>IF(NOT(OR(H24="Unique",I24="Unique",J24="Unique")),VLOOKUP(G24,'Role Families'!B:E,3,FALSE),IF(IF(VLOOKUP(G24,'Role Families'!B:E,2,FALSE)="Model",H24,IF(VLOOKUP(G24,'Role Families'!B:E,2,FALSE)="Industry",I24,J24))="Unique",VLOOKUP(G24,'Role Families'!B:E,3,FALSE),VLOOKUP(G24,'Role Families'!B:E,2,FALSE)))</f>
        <v/>
      </c>
      <c r="M24" s="2">
        <f>IF(NOT(OR(H24="Unique",I24="Unique",J24="Unique")),VLOOKUP(G24,'Role Families'!B:E,4,FALSE),IF(IF(VLOOKUP(G24,'Role Families'!B:E,2,FALSE)="Model",H24,IF(VLOOKUP(G24,'Role Families'!B:E,2,FALSE)="Industry",I24,J24))="Unique",VLOOKUP(G24,'Role Families'!B:E,4,FALSE),IF(IF(VLOOKUP(G24,'Role Families'!B:E,3,FALSE)="Model",H24,IF(VLOOKUP(G24,'Role Families'!B:E,3,FALSE)="Industry",I24,J24))="Unique",VLOOKUP(G24,'Role Families'!B:E,4,FALSE),VLOOKUP(G24,'Role Families'!B:E,3,FALSE))))</f>
        <v/>
      </c>
    </row>
    <row r="25">
      <c r="A25" s="2" t="n">
        <v>24</v>
      </c>
      <c r="B25" s="2" t="inlineStr">
        <is>
          <t>Oatly</t>
        </is>
      </c>
      <c r="C25" s="2" t="inlineStr">
        <is>
          <t>Plant-based Dairy / F&amp;B</t>
        </is>
      </c>
      <c r="D25" s="2" t="inlineStr">
        <is>
          <t>Wholesale + DTC</t>
        </is>
      </c>
      <c r="E25" s="2" t="inlineStr">
        <is>
          <t>Omnichannel</t>
        </is>
      </c>
      <c r="F25" s="2" t="inlineStr">
        <is>
          <t>CMO</t>
        </is>
      </c>
      <c r="G25" s="2" t="inlineStr">
        <is>
          <t>Marketing / Brand</t>
        </is>
      </c>
      <c r="H25" s="3" t="inlineStr">
        <is>
          <t>Common</t>
        </is>
      </c>
      <c r="I25" s="3" t="inlineStr">
        <is>
          <t>Common</t>
        </is>
      </c>
      <c r="J25" s="3" t="inlineStr">
        <is>
          <t>Common</t>
        </is>
      </c>
      <c r="K25" s="5">
        <f>IF(NOT(OR(H25="Unique",I25="Unique",J25="Unique")),VLOOKUP(G25,'Role Families'!B:E,2,FALSE),IF(IF(VLOOKUP(G25,'Role Families'!B:E,2,FALSE)="Model",H25,IF(VLOOKUP(G25,'Role Families'!B:E,2,FALSE)="Industry",I25,J25))="Unique",VLOOKUP(G25,'Role Families'!B:E,2,FALSE),IF(IF(VLOOKUP(G25,'Role Families'!B:E,3,FALSE)="Model",H25,IF(VLOOKUP(G25,'Role Families'!B:E,3,FALSE)="Industry",I25,J25))="Unique",VLOOKUP(G25,'Role Families'!B:E,3,FALSE),VLOOKUP(G25,'Role Families'!B:E,4,FALSE))))</f>
        <v/>
      </c>
      <c r="L25" s="2">
        <f>IF(NOT(OR(H25="Unique",I25="Unique",J25="Unique")),VLOOKUP(G25,'Role Families'!B:E,3,FALSE),IF(IF(VLOOKUP(G25,'Role Families'!B:E,2,FALSE)="Model",H25,IF(VLOOKUP(G25,'Role Families'!B:E,2,FALSE)="Industry",I25,J25))="Unique",VLOOKUP(G25,'Role Families'!B:E,3,FALSE),VLOOKUP(G25,'Role Families'!B:E,2,FALSE)))</f>
        <v/>
      </c>
      <c r="M25" s="2">
        <f>IF(NOT(OR(H25="Unique",I25="Unique",J25="Unique")),VLOOKUP(G25,'Role Families'!B:E,4,FALSE),IF(IF(VLOOKUP(G25,'Role Families'!B:E,2,FALSE)="Model",H25,IF(VLOOKUP(G25,'Role Families'!B:E,2,FALSE)="Industry",I25,J25))="Unique",VLOOKUP(G25,'Role Families'!B:E,4,FALSE),IF(IF(VLOOKUP(G25,'Role Families'!B:E,3,FALSE)="Model",H25,IF(VLOOKUP(G25,'Role Families'!B:E,3,FALSE)="Industry",I25,J25))="Unique",VLOOKUP(G25,'Role Families'!B:E,4,FALSE),VLOOKUP(G25,'Role Families'!B:E,3,FALSE))))</f>
        <v/>
      </c>
    </row>
    <row r="26">
      <c r="A26" s="2" t="n">
        <v>25</v>
      </c>
      <c r="B26" s="2" t="inlineStr">
        <is>
          <t>Oatly</t>
        </is>
      </c>
      <c r="C26" s="2" t="inlineStr">
        <is>
          <t>Plant-based Dairy / F&amp;B</t>
        </is>
      </c>
      <c r="D26" s="2" t="inlineStr">
        <is>
          <t>Wholesale + DTC</t>
        </is>
      </c>
      <c r="E26" s="2" t="inlineStr">
        <is>
          <t>Omnichannel</t>
        </is>
      </c>
      <c r="F26" s="2" t="inlineStr">
        <is>
          <t>VP Supply Chain</t>
        </is>
      </c>
      <c r="G26" s="2" t="inlineStr">
        <is>
          <t>Supply Chain / Logistics</t>
        </is>
      </c>
      <c r="H26" s="3" t="inlineStr">
        <is>
          <t>Common</t>
        </is>
      </c>
      <c r="I26" s="3" t="inlineStr">
        <is>
          <t>Common</t>
        </is>
      </c>
      <c r="J26" s="3" t="inlineStr">
        <is>
          <t>Common</t>
        </is>
      </c>
      <c r="K26" s="5">
        <f>IF(NOT(OR(H26="Unique",I26="Unique",J26="Unique")),VLOOKUP(G26,'Role Families'!B:E,2,FALSE),IF(IF(VLOOKUP(G26,'Role Families'!B:E,2,FALSE)="Model",H26,IF(VLOOKUP(G26,'Role Families'!B:E,2,FALSE)="Industry",I26,J26))="Unique",VLOOKUP(G26,'Role Families'!B:E,2,FALSE),IF(IF(VLOOKUP(G26,'Role Families'!B:E,3,FALSE)="Model",H26,IF(VLOOKUP(G26,'Role Families'!B:E,3,FALSE)="Industry",I26,J26))="Unique",VLOOKUP(G26,'Role Families'!B:E,3,FALSE),VLOOKUP(G26,'Role Families'!B:E,4,FALSE))))</f>
        <v/>
      </c>
      <c r="L26" s="2">
        <f>IF(NOT(OR(H26="Unique",I26="Unique",J26="Unique")),VLOOKUP(G26,'Role Families'!B:E,3,FALSE),IF(IF(VLOOKUP(G26,'Role Families'!B:E,2,FALSE)="Model",H26,IF(VLOOKUP(G26,'Role Families'!B:E,2,FALSE)="Industry",I26,J26))="Unique",VLOOKUP(G26,'Role Families'!B:E,3,FALSE),VLOOKUP(G26,'Role Families'!B:E,2,FALSE)))</f>
        <v/>
      </c>
      <c r="M26" s="2">
        <f>IF(NOT(OR(H26="Unique",I26="Unique",J26="Unique")),VLOOKUP(G26,'Role Families'!B:E,4,FALSE),IF(IF(VLOOKUP(G26,'Role Families'!B:E,2,FALSE)="Model",H26,IF(VLOOKUP(G26,'Role Families'!B:E,2,FALSE)="Industry",I26,J26))="Unique",VLOOKUP(G26,'Role Families'!B:E,4,FALSE),IF(IF(VLOOKUP(G26,'Role Families'!B:E,3,FALSE)="Model",H26,IF(VLOOKUP(G26,'Role Families'!B:E,3,FALSE)="Industry",I26,J26))="Unique",VLOOKUP(G26,'Role Families'!B:E,4,FALSE),VLOOKUP(G26,'Role Families'!B:E,3,FALSE))))</f>
        <v/>
      </c>
    </row>
    <row r="27">
      <c r="A27" s="2" t="n">
        <v>26</v>
      </c>
      <c r="B27" s="2" t="inlineStr">
        <is>
          <t>KIND Snacks</t>
        </is>
      </c>
      <c r="C27" s="2" t="inlineStr">
        <is>
          <t>Snacks / F&amp;B</t>
        </is>
      </c>
      <c r="D27" s="2" t="inlineStr">
        <is>
          <t>Wholesale</t>
        </is>
      </c>
      <c r="E27" s="2" t="inlineStr">
        <is>
          <t>Retail</t>
        </is>
      </c>
      <c r="F27" s="2" t="inlineStr">
        <is>
          <t>CRO</t>
        </is>
      </c>
      <c r="G27" s="2" t="inlineStr">
        <is>
          <t>Sales / Revenue</t>
        </is>
      </c>
      <c r="H27" s="3" t="inlineStr">
        <is>
          <t>Common</t>
        </is>
      </c>
      <c r="I27" s="3" t="inlineStr">
        <is>
          <t>Common</t>
        </is>
      </c>
      <c r="J27" s="3" t="inlineStr">
        <is>
          <t>Common</t>
        </is>
      </c>
      <c r="K27" s="5">
        <f>IF(NOT(OR(H27="Unique",I27="Unique",J27="Unique")),VLOOKUP(G27,'Role Families'!B:E,2,FALSE),IF(IF(VLOOKUP(G27,'Role Families'!B:E,2,FALSE)="Model",H27,IF(VLOOKUP(G27,'Role Families'!B:E,2,FALSE)="Industry",I27,J27))="Unique",VLOOKUP(G27,'Role Families'!B:E,2,FALSE),IF(IF(VLOOKUP(G27,'Role Families'!B:E,3,FALSE)="Model",H27,IF(VLOOKUP(G27,'Role Families'!B:E,3,FALSE)="Industry",I27,J27))="Unique",VLOOKUP(G27,'Role Families'!B:E,3,FALSE),VLOOKUP(G27,'Role Families'!B:E,4,FALSE))))</f>
        <v/>
      </c>
      <c r="L27" s="2">
        <f>IF(NOT(OR(H27="Unique",I27="Unique",J27="Unique")),VLOOKUP(G27,'Role Families'!B:E,3,FALSE),IF(IF(VLOOKUP(G27,'Role Families'!B:E,2,FALSE)="Model",H27,IF(VLOOKUP(G27,'Role Families'!B:E,2,FALSE)="Industry",I27,J27))="Unique",VLOOKUP(G27,'Role Families'!B:E,3,FALSE),VLOOKUP(G27,'Role Families'!B:E,2,FALSE)))</f>
        <v/>
      </c>
      <c r="M27" s="2">
        <f>IF(NOT(OR(H27="Unique",I27="Unique",J27="Unique")),VLOOKUP(G27,'Role Families'!B:E,4,FALSE),IF(IF(VLOOKUP(G27,'Role Families'!B:E,2,FALSE)="Model",H27,IF(VLOOKUP(G27,'Role Families'!B:E,2,FALSE)="Industry",I27,J27))="Unique",VLOOKUP(G27,'Role Families'!B:E,4,FALSE),IF(IF(VLOOKUP(G27,'Role Families'!B:E,3,FALSE)="Model",H27,IF(VLOOKUP(G27,'Role Families'!B:E,3,FALSE)="Industry",I27,J27))="Unique",VLOOKUP(G27,'Role Families'!B:E,4,FALSE),VLOOKUP(G27,'Role Families'!B:E,3,FALSE))))</f>
        <v/>
      </c>
    </row>
    <row r="28">
      <c r="A28" s="2" t="n">
        <v>27</v>
      </c>
      <c r="B28" s="2" t="inlineStr">
        <is>
          <t>Chobani</t>
        </is>
      </c>
      <c r="C28" s="2" t="inlineStr">
        <is>
          <t>Dairy / F&amp;B</t>
        </is>
      </c>
      <c r="D28" s="2" t="inlineStr">
        <is>
          <t>Wholesale</t>
        </is>
      </c>
      <c r="E28" s="2" t="inlineStr">
        <is>
          <t>Retail</t>
        </is>
      </c>
      <c r="F28" s="2" t="inlineStr">
        <is>
          <t>VP Product</t>
        </is>
      </c>
      <c r="G28" s="2" t="inlineStr">
        <is>
          <t>Product</t>
        </is>
      </c>
      <c r="H28" s="3" t="inlineStr">
        <is>
          <t>Common</t>
        </is>
      </c>
      <c r="I28" s="3" t="inlineStr">
        <is>
          <t>Common</t>
        </is>
      </c>
      <c r="J28" s="3" t="inlineStr">
        <is>
          <t>Common</t>
        </is>
      </c>
      <c r="K28" s="5">
        <f>IF(NOT(OR(H28="Unique",I28="Unique",J28="Unique")),VLOOKUP(G28,'Role Families'!B:E,2,FALSE),IF(IF(VLOOKUP(G28,'Role Families'!B:E,2,FALSE)="Model",H28,IF(VLOOKUP(G28,'Role Families'!B:E,2,FALSE)="Industry",I28,J28))="Unique",VLOOKUP(G28,'Role Families'!B:E,2,FALSE),IF(IF(VLOOKUP(G28,'Role Families'!B:E,3,FALSE)="Model",H28,IF(VLOOKUP(G28,'Role Families'!B:E,3,FALSE)="Industry",I28,J28))="Unique",VLOOKUP(G28,'Role Families'!B:E,3,FALSE),VLOOKUP(G28,'Role Families'!B:E,4,FALSE))))</f>
        <v/>
      </c>
      <c r="L28" s="2">
        <f>IF(NOT(OR(H28="Unique",I28="Unique",J28="Unique")),VLOOKUP(G28,'Role Families'!B:E,3,FALSE),IF(IF(VLOOKUP(G28,'Role Families'!B:E,2,FALSE)="Model",H28,IF(VLOOKUP(G28,'Role Families'!B:E,2,FALSE)="Industry",I28,J28))="Unique",VLOOKUP(G28,'Role Families'!B:E,3,FALSE),VLOOKUP(G28,'Role Families'!B:E,2,FALSE)))</f>
        <v/>
      </c>
      <c r="M28" s="2">
        <f>IF(NOT(OR(H28="Unique",I28="Unique",J28="Unique")),VLOOKUP(G28,'Role Families'!B:E,4,FALSE),IF(IF(VLOOKUP(G28,'Role Families'!B:E,2,FALSE)="Model",H28,IF(VLOOKUP(G28,'Role Families'!B:E,2,FALSE)="Industry",I28,J28))="Unique",VLOOKUP(G28,'Role Families'!B:E,4,FALSE),IF(IF(VLOOKUP(G28,'Role Families'!B:E,3,FALSE)="Model",H28,IF(VLOOKUP(G28,'Role Families'!B:E,3,FALSE)="Industry",I28,J28))="Unique",VLOOKUP(G28,'Role Families'!B:E,4,FALSE),VLOOKUP(G28,'Role Families'!B:E,3,FALSE))))</f>
        <v/>
      </c>
    </row>
    <row r="29">
      <c r="A29" s="2" t="n">
        <v>28</v>
      </c>
      <c r="B29" s="2" t="inlineStr">
        <is>
          <t>RXBAR</t>
        </is>
      </c>
      <c r="C29" s="2" t="inlineStr">
        <is>
          <t>Snacks / F&amp;B</t>
        </is>
      </c>
      <c r="D29" s="2" t="inlineStr">
        <is>
          <t>Wholesale</t>
        </is>
      </c>
      <c r="E29" s="2" t="inlineStr">
        <is>
          <t>Retail</t>
        </is>
      </c>
      <c r="F29" s="2" t="inlineStr">
        <is>
          <t>CMO</t>
        </is>
      </c>
      <c r="G29" s="2" t="inlineStr">
        <is>
          <t>Marketing / Brand</t>
        </is>
      </c>
      <c r="H29" s="3" t="inlineStr">
        <is>
          <t>Common</t>
        </is>
      </c>
      <c r="I29" s="3" t="inlineStr">
        <is>
          <t>Common</t>
        </is>
      </c>
      <c r="J29" s="3" t="inlineStr">
        <is>
          <t>Common</t>
        </is>
      </c>
      <c r="K29" s="5">
        <f>IF(NOT(OR(H29="Unique",I29="Unique",J29="Unique")),VLOOKUP(G29,'Role Families'!B:E,2,FALSE),IF(IF(VLOOKUP(G29,'Role Families'!B:E,2,FALSE)="Model",H29,IF(VLOOKUP(G29,'Role Families'!B:E,2,FALSE)="Industry",I29,J29))="Unique",VLOOKUP(G29,'Role Families'!B:E,2,FALSE),IF(IF(VLOOKUP(G29,'Role Families'!B:E,3,FALSE)="Model",H29,IF(VLOOKUP(G29,'Role Families'!B:E,3,FALSE)="Industry",I29,J29))="Unique",VLOOKUP(G29,'Role Families'!B:E,3,FALSE),VLOOKUP(G29,'Role Families'!B:E,4,FALSE))))</f>
        <v/>
      </c>
      <c r="L29" s="2">
        <f>IF(NOT(OR(H29="Unique",I29="Unique",J29="Unique")),VLOOKUP(G29,'Role Families'!B:E,3,FALSE),IF(IF(VLOOKUP(G29,'Role Families'!B:E,2,FALSE)="Model",H29,IF(VLOOKUP(G29,'Role Families'!B:E,2,FALSE)="Industry",I29,J29))="Unique",VLOOKUP(G29,'Role Families'!B:E,3,FALSE),VLOOKUP(G29,'Role Families'!B:E,2,FALSE)))</f>
        <v/>
      </c>
      <c r="M29" s="2">
        <f>IF(NOT(OR(H29="Unique",I29="Unique",J29="Unique")),VLOOKUP(G29,'Role Families'!B:E,4,FALSE),IF(IF(VLOOKUP(G29,'Role Families'!B:E,2,FALSE)="Model",H29,IF(VLOOKUP(G29,'Role Families'!B:E,2,FALSE)="Industry",I29,J29))="Unique",VLOOKUP(G29,'Role Families'!B:E,4,FALSE),IF(IF(VLOOKUP(G29,'Role Families'!B:E,3,FALSE)="Model",H29,IF(VLOOKUP(G29,'Role Families'!B:E,3,FALSE)="Industry",I29,J29))="Unique",VLOOKUP(G29,'Role Families'!B:E,4,FALSE),VLOOKUP(G29,'Role Families'!B:E,3,FALSE))))</f>
        <v/>
      </c>
    </row>
    <row r="30">
      <c r="A30" s="2" t="n">
        <v>29</v>
      </c>
      <c r="B30" s="2" t="inlineStr">
        <is>
          <t>Glossier</t>
        </is>
      </c>
      <c r="C30" s="2" t="inlineStr">
        <is>
          <t>Beauty / Cosmetics</t>
        </is>
      </c>
      <c r="D30" s="2" t="inlineStr">
        <is>
          <t>E-Commerce</t>
        </is>
      </c>
      <c r="E30" s="2" t="inlineStr">
        <is>
          <t>Digital DTC</t>
        </is>
      </c>
      <c r="F30" s="2" t="inlineStr">
        <is>
          <t>CFO</t>
        </is>
      </c>
      <c r="G30" s="2" t="inlineStr">
        <is>
          <t>Finance / Accounting</t>
        </is>
      </c>
      <c r="H30" s="3" t="inlineStr">
        <is>
          <t>Common</t>
        </is>
      </c>
      <c r="I30" s="3" t="inlineStr">
        <is>
          <t>Common</t>
        </is>
      </c>
      <c r="J30" s="3" t="inlineStr">
        <is>
          <t>Common</t>
        </is>
      </c>
      <c r="K30" s="5">
        <f>IF(NOT(OR(H30="Unique",I30="Unique",J30="Unique")),VLOOKUP(G30,'Role Families'!B:E,2,FALSE),IF(IF(VLOOKUP(G30,'Role Families'!B:E,2,FALSE)="Model",H30,IF(VLOOKUP(G30,'Role Families'!B:E,2,FALSE)="Industry",I30,J30))="Unique",VLOOKUP(G30,'Role Families'!B:E,2,FALSE),IF(IF(VLOOKUP(G30,'Role Families'!B:E,3,FALSE)="Model",H30,IF(VLOOKUP(G30,'Role Families'!B:E,3,FALSE)="Industry",I30,J30))="Unique",VLOOKUP(G30,'Role Families'!B:E,3,FALSE),VLOOKUP(G30,'Role Families'!B:E,4,FALSE))))</f>
        <v/>
      </c>
      <c r="L30" s="2">
        <f>IF(NOT(OR(H30="Unique",I30="Unique",J30="Unique")),VLOOKUP(G30,'Role Families'!B:E,3,FALSE),IF(IF(VLOOKUP(G30,'Role Families'!B:E,2,FALSE)="Model",H30,IF(VLOOKUP(G30,'Role Families'!B:E,2,FALSE)="Industry",I30,J30))="Unique",VLOOKUP(G30,'Role Families'!B:E,3,FALSE),VLOOKUP(G30,'Role Families'!B:E,2,FALSE)))</f>
        <v/>
      </c>
      <c r="M30" s="2">
        <f>IF(NOT(OR(H30="Unique",I30="Unique",J30="Unique")),VLOOKUP(G30,'Role Families'!B:E,4,FALSE),IF(IF(VLOOKUP(G30,'Role Families'!B:E,2,FALSE)="Model",H30,IF(VLOOKUP(G30,'Role Families'!B:E,2,FALSE)="Industry",I30,J30))="Unique",VLOOKUP(G30,'Role Families'!B:E,4,FALSE),IF(IF(VLOOKUP(G30,'Role Families'!B:E,3,FALSE)="Model",H30,IF(VLOOKUP(G30,'Role Families'!B:E,3,FALSE)="Industry",I30,J30))="Unique",VLOOKUP(G30,'Role Families'!B:E,4,FALSE),VLOOKUP(G30,'Role Families'!B:E,3,FALSE))))</f>
        <v/>
      </c>
    </row>
    <row r="31">
      <c r="A31" s="2" t="n">
        <v>30</v>
      </c>
      <c r="B31" s="2" t="inlineStr">
        <is>
          <t>Glossier</t>
        </is>
      </c>
      <c r="C31" s="2" t="inlineStr">
        <is>
          <t>Beauty / Cosmetics</t>
        </is>
      </c>
      <c r="D31" s="2" t="inlineStr">
        <is>
          <t>E-Commerce</t>
        </is>
      </c>
      <c r="E31" s="2" t="inlineStr">
        <is>
          <t>Digital DTC</t>
        </is>
      </c>
      <c r="F31" s="2" t="inlineStr">
        <is>
          <t>Head of Data</t>
        </is>
      </c>
      <c r="G31" s="2" t="inlineStr">
        <is>
          <t>Data / Analytics</t>
        </is>
      </c>
      <c r="H31" s="3" t="inlineStr">
        <is>
          <t>Common</t>
        </is>
      </c>
      <c r="I31" s="3" t="inlineStr">
        <is>
          <t>Common</t>
        </is>
      </c>
      <c r="J31" s="3" t="inlineStr">
        <is>
          <t>Common</t>
        </is>
      </c>
      <c r="K31" s="5">
        <f>IF(NOT(OR(H31="Unique",I31="Unique",J31="Unique")),VLOOKUP(G31,'Role Families'!B:E,2,FALSE),IF(IF(VLOOKUP(G31,'Role Families'!B:E,2,FALSE)="Model",H31,IF(VLOOKUP(G31,'Role Families'!B:E,2,FALSE)="Industry",I31,J31))="Unique",VLOOKUP(G31,'Role Families'!B:E,2,FALSE),IF(IF(VLOOKUP(G31,'Role Families'!B:E,3,FALSE)="Model",H31,IF(VLOOKUP(G31,'Role Families'!B:E,3,FALSE)="Industry",I31,J31))="Unique",VLOOKUP(G31,'Role Families'!B:E,3,FALSE),VLOOKUP(G31,'Role Families'!B:E,4,FALSE))))</f>
        <v/>
      </c>
      <c r="L31" s="2">
        <f>IF(NOT(OR(H31="Unique",I31="Unique",J31="Unique")),VLOOKUP(G31,'Role Families'!B:E,3,FALSE),IF(IF(VLOOKUP(G31,'Role Families'!B:E,2,FALSE)="Model",H31,IF(VLOOKUP(G31,'Role Families'!B:E,2,FALSE)="Industry",I31,J31))="Unique",VLOOKUP(G31,'Role Families'!B:E,3,FALSE),VLOOKUP(G31,'Role Families'!B:E,2,FALSE)))</f>
        <v/>
      </c>
      <c r="M31" s="2">
        <f>IF(NOT(OR(H31="Unique",I31="Unique",J31="Unique")),VLOOKUP(G31,'Role Families'!B:E,4,FALSE),IF(IF(VLOOKUP(G31,'Role Families'!B:E,2,FALSE)="Model",H31,IF(VLOOKUP(G31,'Role Families'!B:E,2,FALSE)="Industry",I31,J31))="Unique",VLOOKUP(G31,'Role Families'!B:E,4,FALSE),IF(IF(VLOOKUP(G31,'Role Families'!B:E,3,FALSE)="Model",H31,IF(VLOOKUP(G31,'Role Families'!B:E,3,FALSE)="Industry",I31,J31))="Unique",VLOOKUP(G31,'Role Families'!B:E,4,FALSE),VLOOKUP(G31,'Role Families'!B:E,3,FALSE))))</f>
        <v/>
      </c>
    </row>
    <row r="32">
      <c r="A32" s="2" t="n">
        <v>31</v>
      </c>
      <c r="B32" s="2" t="inlineStr">
        <is>
          <t>Dollar Shave Club</t>
        </is>
      </c>
      <c r="C32" s="2" t="inlineStr">
        <is>
          <t>Personal Care / Grooming</t>
        </is>
      </c>
      <c r="D32" s="2" t="inlineStr">
        <is>
          <t>Subscription</t>
        </is>
      </c>
      <c r="E32" s="2" t="inlineStr">
        <is>
          <t>Digital DTC</t>
        </is>
      </c>
      <c r="F32" s="2" t="inlineStr">
        <is>
          <t>VP Sales</t>
        </is>
      </c>
      <c r="G32" s="2" t="inlineStr">
        <is>
          <t>Sales / Revenue</t>
        </is>
      </c>
      <c r="H32" s="3" t="inlineStr">
        <is>
          <t>Common</t>
        </is>
      </c>
      <c r="I32" s="3" t="inlineStr">
        <is>
          <t>Common</t>
        </is>
      </c>
      <c r="J32" s="3" t="inlineStr">
        <is>
          <t>Common</t>
        </is>
      </c>
      <c r="K32" s="5">
        <f>IF(NOT(OR(H32="Unique",I32="Unique",J32="Unique")),VLOOKUP(G32,'Role Families'!B:E,2,FALSE),IF(IF(VLOOKUP(G32,'Role Families'!B:E,2,FALSE)="Model",H32,IF(VLOOKUP(G32,'Role Families'!B:E,2,FALSE)="Industry",I32,J32))="Unique",VLOOKUP(G32,'Role Families'!B:E,2,FALSE),IF(IF(VLOOKUP(G32,'Role Families'!B:E,3,FALSE)="Model",H32,IF(VLOOKUP(G32,'Role Families'!B:E,3,FALSE)="Industry",I32,J32))="Unique",VLOOKUP(G32,'Role Families'!B:E,3,FALSE),VLOOKUP(G32,'Role Families'!B:E,4,FALSE))))</f>
        <v/>
      </c>
      <c r="L32" s="2">
        <f>IF(NOT(OR(H32="Unique",I32="Unique",J32="Unique")),VLOOKUP(G32,'Role Families'!B:E,3,FALSE),IF(IF(VLOOKUP(G32,'Role Families'!B:E,2,FALSE)="Model",H32,IF(VLOOKUP(G32,'Role Families'!B:E,2,FALSE)="Industry",I32,J32))="Unique",VLOOKUP(G32,'Role Families'!B:E,3,FALSE),VLOOKUP(G32,'Role Families'!B:E,2,FALSE)))</f>
        <v/>
      </c>
      <c r="M32" s="2">
        <f>IF(NOT(OR(H32="Unique",I32="Unique",J32="Unique")),VLOOKUP(G32,'Role Families'!B:E,4,FALSE),IF(IF(VLOOKUP(G32,'Role Families'!B:E,2,FALSE)="Model",H32,IF(VLOOKUP(G32,'Role Families'!B:E,2,FALSE)="Industry",I32,J32))="Unique",VLOOKUP(G32,'Role Families'!B:E,4,FALSE),IF(IF(VLOOKUP(G32,'Role Families'!B:E,3,FALSE)="Model",H32,IF(VLOOKUP(G32,'Role Families'!B:E,3,FALSE)="Industry",I32,J32))="Unique",VLOOKUP(G32,'Role Families'!B:E,4,FALSE),VLOOKUP(G32,'Role Families'!B:E,3,FALSE))))</f>
        <v/>
      </c>
    </row>
    <row r="33">
      <c r="A33" s="2" t="n">
        <v>32</v>
      </c>
      <c r="B33" s="2" t="inlineStr">
        <is>
          <t>Hims &amp; Hers</t>
        </is>
      </c>
      <c r="C33" s="2" t="inlineStr">
        <is>
          <t>Health &amp; Wellness</t>
        </is>
      </c>
      <c r="D33" s="2" t="inlineStr">
        <is>
          <t>Subscription</t>
        </is>
      </c>
      <c r="E33" s="2" t="inlineStr">
        <is>
          <t>Digital DTC (Telehealth)</t>
        </is>
      </c>
      <c r="F33" s="2" t="inlineStr">
        <is>
          <t>CFO</t>
        </is>
      </c>
      <c r="G33" s="2" t="inlineStr">
        <is>
          <t>Finance / Accounting</t>
        </is>
      </c>
      <c r="H33" s="3" t="inlineStr">
        <is>
          <t>Common</t>
        </is>
      </c>
      <c r="I33" s="3" t="inlineStr">
        <is>
          <t>Common</t>
        </is>
      </c>
      <c r="J33" s="4" t="inlineStr">
        <is>
          <t>Unique</t>
        </is>
      </c>
      <c r="K33" s="5">
        <f>IF(NOT(OR(H33="Unique",I33="Unique",J33="Unique")),VLOOKUP(G33,'Role Families'!B:E,2,FALSE),IF(IF(VLOOKUP(G33,'Role Families'!B:E,2,FALSE)="Model",H33,IF(VLOOKUP(G33,'Role Families'!B:E,2,FALSE)="Industry",I33,J33))="Unique",VLOOKUP(G33,'Role Families'!B:E,2,FALSE),IF(IF(VLOOKUP(G33,'Role Families'!B:E,3,FALSE)="Model",H33,IF(VLOOKUP(G33,'Role Families'!B:E,3,FALSE)="Industry",I33,J33))="Unique",VLOOKUP(G33,'Role Families'!B:E,3,FALSE),VLOOKUP(G33,'Role Families'!B:E,4,FALSE))))</f>
        <v/>
      </c>
      <c r="L33" s="2">
        <f>IF(NOT(OR(H33="Unique",I33="Unique",J33="Unique")),VLOOKUP(G33,'Role Families'!B:E,3,FALSE),IF(IF(VLOOKUP(G33,'Role Families'!B:E,2,FALSE)="Model",H33,IF(VLOOKUP(G33,'Role Families'!B:E,2,FALSE)="Industry",I33,J33))="Unique",VLOOKUP(G33,'Role Families'!B:E,3,FALSE),VLOOKUP(G33,'Role Families'!B:E,2,FALSE)))</f>
        <v/>
      </c>
      <c r="M33" s="2">
        <f>IF(NOT(OR(H33="Unique",I33="Unique",J33="Unique")),VLOOKUP(G33,'Role Families'!B:E,4,FALSE),IF(IF(VLOOKUP(G33,'Role Families'!B:E,2,FALSE)="Model",H33,IF(VLOOKUP(G33,'Role Families'!B:E,2,FALSE)="Industry",I33,J33))="Unique",VLOOKUP(G33,'Role Families'!B:E,4,FALSE),IF(IF(VLOOKUP(G33,'Role Families'!B:E,3,FALSE)="Model",H33,IF(VLOOKUP(G33,'Role Families'!B:E,3,FALSE)="Industry",I33,J33))="Unique",VLOOKUP(G33,'Role Families'!B:E,4,FALSE),VLOOKUP(G33,'Role Families'!B:E,3,FALSE))))</f>
        <v/>
      </c>
    </row>
    <row r="34">
      <c r="A34" s="2" t="n">
        <v>33</v>
      </c>
      <c r="B34" s="2" t="inlineStr">
        <is>
          <t>Hims &amp; Hers</t>
        </is>
      </c>
      <c r="C34" s="2" t="inlineStr">
        <is>
          <t>Health &amp; Wellness</t>
        </is>
      </c>
      <c r="D34" s="2" t="inlineStr">
        <is>
          <t>Subscription</t>
        </is>
      </c>
      <c r="E34" s="2" t="inlineStr">
        <is>
          <t>Digital DTC (Telehealth)</t>
        </is>
      </c>
      <c r="F34" s="2" t="inlineStr">
        <is>
          <t>CMO</t>
        </is>
      </c>
      <c r="G34" s="2" t="inlineStr">
        <is>
          <t>Marketing / Brand</t>
        </is>
      </c>
      <c r="H34" s="3" t="inlineStr">
        <is>
          <t>Common</t>
        </is>
      </c>
      <c r="I34" s="3" t="inlineStr">
        <is>
          <t>Common</t>
        </is>
      </c>
      <c r="J34" s="4" t="inlineStr">
        <is>
          <t>Unique</t>
        </is>
      </c>
      <c r="K34" s="5">
        <f>IF(NOT(OR(H34="Unique",I34="Unique",J34="Unique")),VLOOKUP(G34,'Role Families'!B:E,2,FALSE),IF(IF(VLOOKUP(G34,'Role Families'!B:E,2,FALSE)="Model",H34,IF(VLOOKUP(G34,'Role Families'!B:E,2,FALSE)="Industry",I34,J34))="Unique",VLOOKUP(G34,'Role Families'!B:E,2,FALSE),IF(IF(VLOOKUP(G34,'Role Families'!B:E,3,FALSE)="Model",H34,IF(VLOOKUP(G34,'Role Families'!B:E,3,FALSE)="Industry",I34,J34))="Unique",VLOOKUP(G34,'Role Families'!B:E,3,FALSE),VLOOKUP(G34,'Role Families'!B:E,4,FALSE))))</f>
        <v/>
      </c>
      <c r="L34" s="2">
        <f>IF(NOT(OR(H34="Unique",I34="Unique",J34="Unique")),VLOOKUP(G34,'Role Families'!B:E,3,FALSE),IF(IF(VLOOKUP(G34,'Role Families'!B:E,2,FALSE)="Model",H34,IF(VLOOKUP(G34,'Role Families'!B:E,2,FALSE)="Industry",I34,J34))="Unique",VLOOKUP(G34,'Role Families'!B:E,3,FALSE),VLOOKUP(G34,'Role Families'!B:E,2,FALSE)))</f>
        <v/>
      </c>
      <c r="M34" s="2">
        <f>IF(NOT(OR(H34="Unique",I34="Unique",J34="Unique")),VLOOKUP(G34,'Role Families'!B:E,4,FALSE),IF(IF(VLOOKUP(G34,'Role Families'!B:E,2,FALSE)="Model",H34,IF(VLOOKUP(G34,'Role Families'!B:E,2,FALSE)="Industry",I34,J34))="Unique",VLOOKUP(G34,'Role Families'!B:E,4,FALSE),IF(IF(VLOOKUP(G34,'Role Families'!B:E,3,FALSE)="Model",H34,IF(VLOOKUP(G34,'Role Families'!B:E,3,FALSE)="Industry",I34,J34))="Unique",VLOOKUP(G34,'Role Families'!B:E,4,FALSE),VLOOKUP(G34,'Role Families'!B:E,3,FALSE))))</f>
        <v/>
      </c>
    </row>
    <row r="35">
      <c r="A35" s="2" t="n">
        <v>34</v>
      </c>
      <c r="B35" s="2" t="inlineStr">
        <is>
          <t>Hims &amp; Hers</t>
        </is>
      </c>
      <c r="C35" s="2" t="inlineStr">
        <is>
          <t>Health &amp; Wellness</t>
        </is>
      </c>
      <c r="D35" s="2" t="inlineStr">
        <is>
          <t>Subscription</t>
        </is>
      </c>
      <c r="E35" s="2" t="inlineStr">
        <is>
          <t>Digital DTC (Telehealth)</t>
        </is>
      </c>
      <c r="F35" s="2" t="inlineStr">
        <is>
          <t>VP Product</t>
        </is>
      </c>
      <c r="G35" s="2" t="inlineStr">
        <is>
          <t>Product</t>
        </is>
      </c>
      <c r="H35" s="3" t="inlineStr">
        <is>
          <t>Common</t>
        </is>
      </c>
      <c r="I35" s="3" t="inlineStr">
        <is>
          <t>Common</t>
        </is>
      </c>
      <c r="J35" s="4" t="inlineStr">
        <is>
          <t>Unique</t>
        </is>
      </c>
      <c r="K35" s="5">
        <f>IF(NOT(OR(H35="Unique",I35="Unique",J35="Unique")),VLOOKUP(G35,'Role Families'!B:E,2,FALSE),IF(IF(VLOOKUP(G35,'Role Families'!B:E,2,FALSE)="Model",H35,IF(VLOOKUP(G35,'Role Families'!B:E,2,FALSE)="Industry",I35,J35))="Unique",VLOOKUP(G35,'Role Families'!B:E,2,FALSE),IF(IF(VLOOKUP(G35,'Role Families'!B:E,3,FALSE)="Model",H35,IF(VLOOKUP(G35,'Role Families'!B:E,3,FALSE)="Industry",I35,J35))="Unique",VLOOKUP(G35,'Role Families'!B:E,3,FALSE),VLOOKUP(G35,'Role Families'!B:E,4,FALSE))))</f>
        <v/>
      </c>
      <c r="L35" s="2">
        <f>IF(NOT(OR(H35="Unique",I35="Unique",J35="Unique")),VLOOKUP(G35,'Role Families'!B:E,3,FALSE),IF(IF(VLOOKUP(G35,'Role Families'!B:E,2,FALSE)="Model",H35,IF(VLOOKUP(G35,'Role Families'!B:E,2,FALSE)="Industry",I35,J35))="Unique",VLOOKUP(G35,'Role Families'!B:E,3,FALSE),VLOOKUP(G35,'Role Families'!B:E,2,FALSE)))</f>
        <v/>
      </c>
      <c r="M35" s="2">
        <f>IF(NOT(OR(H35="Unique",I35="Unique",J35="Unique")),VLOOKUP(G35,'Role Families'!B:E,4,FALSE),IF(IF(VLOOKUP(G35,'Role Families'!B:E,2,FALSE)="Model",H35,IF(VLOOKUP(G35,'Role Families'!B:E,2,FALSE)="Industry",I35,J35))="Unique",VLOOKUP(G35,'Role Families'!B:E,4,FALSE),IF(IF(VLOOKUP(G35,'Role Families'!B:E,3,FALSE)="Model",H35,IF(VLOOKUP(G35,'Role Families'!B:E,3,FALSE)="Industry",I35,J35))="Unique",VLOOKUP(G35,'Role Families'!B:E,4,FALSE),VLOOKUP(G35,'Role Families'!B:E,3,FALSE))))</f>
        <v/>
      </c>
    </row>
    <row r="36">
      <c r="A36" s="2" t="n">
        <v>35</v>
      </c>
      <c r="B36" s="2" t="inlineStr">
        <is>
          <t>European Wax Center</t>
        </is>
      </c>
      <c r="C36" s="2" t="inlineStr">
        <is>
          <t>Beauty / Personal Services</t>
        </is>
      </c>
      <c r="D36" s="2" t="inlineStr">
        <is>
          <t>Franchise</t>
        </is>
      </c>
      <c r="E36" s="2" t="inlineStr">
        <is>
          <t>Multi-unit Four-wall</t>
        </is>
      </c>
      <c r="F36" s="2" t="inlineStr">
        <is>
          <t>COO</t>
        </is>
      </c>
      <c r="G36" s="2" t="inlineStr">
        <is>
          <t>Operations / General Mgmt</t>
        </is>
      </c>
      <c r="H36" s="3" t="inlineStr">
        <is>
          <t>Common</t>
        </is>
      </c>
      <c r="I36" s="3" t="inlineStr">
        <is>
          <t>Common</t>
        </is>
      </c>
      <c r="J36" s="3" t="inlineStr">
        <is>
          <t>Common</t>
        </is>
      </c>
      <c r="K36" s="5">
        <f>IF(NOT(OR(H36="Unique",I36="Unique",J36="Unique")),VLOOKUP(G36,'Role Families'!B:E,2,FALSE),IF(IF(VLOOKUP(G36,'Role Families'!B:E,2,FALSE)="Model",H36,IF(VLOOKUP(G36,'Role Families'!B:E,2,FALSE)="Industry",I36,J36))="Unique",VLOOKUP(G36,'Role Families'!B:E,2,FALSE),IF(IF(VLOOKUP(G36,'Role Families'!B:E,3,FALSE)="Model",H36,IF(VLOOKUP(G36,'Role Families'!B:E,3,FALSE)="Industry",I36,J36))="Unique",VLOOKUP(G36,'Role Families'!B:E,3,FALSE),VLOOKUP(G36,'Role Families'!B:E,4,FALSE))))</f>
        <v/>
      </c>
      <c r="L36" s="2">
        <f>IF(NOT(OR(H36="Unique",I36="Unique",J36="Unique")),VLOOKUP(G36,'Role Families'!B:E,3,FALSE),IF(IF(VLOOKUP(G36,'Role Families'!B:E,2,FALSE)="Model",H36,IF(VLOOKUP(G36,'Role Families'!B:E,2,FALSE)="Industry",I36,J36))="Unique",VLOOKUP(G36,'Role Families'!B:E,3,FALSE),VLOOKUP(G36,'Role Families'!B:E,2,FALSE)))</f>
        <v/>
      </c>
      <c r="M36" s="2">
        <f>IF(NOT(OR(H36="Unique",I36="Unique",J36="Unique")),VLOOKUP(G36,'Role Families'!B:E,4,FALSE),IF(IF(VLOOKUP(G36,'Role Families'!B:E,2,FALSE)="Model",H36,IF(VLOOKUP(G36,'Role Families'!B:E,2,FALSE)="Industry",I36,J36))="Unique",VLOOKUP(G36,'Role Families'!B:E,4,FALSE),IF(IF(VLOOKUP(G36,'Role Families'!B:E,3,FALSE)="Model",H36,IF(VLOOKUP(G36,'Role Families'!B:E,3,FALSE)="Industry",I36,J36))="Unique",VLOOKUP(G36,'Role Families'!B:E,4,FALSE),VLOOKUP(G36,'Role Families'!B:E,3,FALSE))))</f>
        <v/>
      </c>
    </row>
    <row r="37">
      <c r="A37" s="2" t="n">
        <v>36</v>
      </c>
      <c r="B37" s="2" t="inlineStr">
        <is>
          <t>Sephora</t>
        </is>
      </c>
      <c r="C37" s="2" t="inlineStr">
        <is>
          <t>Beauty / Retail</t>
        </is>
      </c>
      <c r="D37" s="2" t="inlineStr">
        <is>
          <t>Retail</t>
        </is>
      </c>
      <c r="E37" s="2" t="inlineStr">
        <is>
          <t>Omnichannel</t>
        </is>
      </c>
      <c r="F37" s="2" t="inlineStr">
        <is>
          <t>VP Engineering</t>
        </is>
      </c>
      <c r="G37" s="2" t="inlineStr">
        <is>
          <t>Technology / Engineering</t>
        </is>
      </c>
      <c r="H37" s="3" t="inlineStr">
        <is>
          <t>Common</t>
        </is>
      </c>
      <c r="I37" s="3" t="inlineStr">
        <is>
          <t>Common</t>
        </is>
      </c>
      <c r="J37" s="3" t="inlineStr">
        <is>
          <t>Common</t>
        </is>
      </c>
      <c r="K37" s="5">
        <f>IF(NOT(OR(H37="Unique",I37="Unique",J37="Unique")),VLOOKUP(G37,'Role Families'!B:E,2,FALSE),IF(IF(VLOOKUP(G37,'Role Families'!B:E,2,FALSE)="Model",H37,IF(VLOOKUP(G37,'Role Families'!B:E,2,FALSE)="Industry",I37,J37))="Unique",VLOOKUP(G37,'Role Families'!B:E,2,FALSE),IF(IF(VLOOKUP(G37,'Role Families'!B:E,3,FALSE)="Model",H37,IF(VLOOKUP(G37,'Role Families'!B:E,3,FALSE)="Industry",I37,J37))="Unique",VLOOKUP(G37,'Role Families'!B:E,3,FALSE),VLOOKUP(G37,'Role Families'!B:E,4,FALSE))))</f>
        <v/>
      </c>
      <c r="L37" s="2">
        <f>IF(NOT(OR(H37="Unique",I37="Unique",J37="Unique")),VLOOKUP(G37,'Role Families'!B:E,3,FALSE),IF(IF(VLOOKUP(G37,'Role Families'!B:E,2,FALSE)="Model",H37,IF(VLOOKUP(G37,'Role Families'!B:E,2,FALSE)="Industry",I37,J37))="Unique",VLOOKUP(G37,'Role Families'!B:E,3,FALSE),VLOOKUP(G37,'Role Families'!B:E,2,FALSE)))</f>
        <v/>
      </c>
      <c r="M37" s="2">
        <f>IF(NOT(OR(H37="Unique",I37="Unique",J37="Unique")),VLOOKUP(G37,'Role Families'!B:E,4,FALSE),IF(IF(VLOOKUP(G37,'Role Families'!B:E,2,FALSE)="Model",H37,IF(VLOOKUP(G37,'Role Families'!B:E,2,FALSE)="Industry",I37,J37))="Unique",VLOOKUP(G37,'Role Families'!B:E,4,FALSE),IF(IF(VLOOKUP(G37,'Role Families'!B:E,3,FALSE)="Model",H37,IF(VLOOKUP(G37,'Role Families'!B:E,3,FALSE)="Industry",I37,J37))="Unique",VLOOKUP(G37,'Role Families'!B:E,4,FALSE),VLOOKUP(G37,'Role Families'!B:E,3,FALSE))))</f>
        <v/>
      </c>
    </row>
    <row r="38">
      <c r="A38" s="2" t="n">
        <v>37</v>
      </c>
      <c r="B38" s="2" t="inlineStr">
        <is>
          <t>ATI Restoration</t>
        </is>
      </c>
      <c r="C38" s="2" t="inlineStr">
        <is>
          <t>Disaster Recovery</t>
        </is>
      </c>
      <c r="D38" s="2" t="inlineStr">
        <is>
          <t>POC (% Completion)</t>
        </is>
      </c>
      <c r="E38" s="2" t="inlineStr">
        <is>
          <t>B2B Field Services</t>
        </is>
      </c>
      <c r="F38" s="2" t="inlineStr">
        <is>
          <t>CFO</t>
        </is>
      </c>
      <c r="G38" s="2" t="inlineStr">
        <is>
          <t>Finance / Accounting</t>
        </is>
      </c>
      <c r="H38" s="4" t="inlineStr">
        <is>
          <t>Unique</t>
        </is>
      </c>
      <c r="I38" s="4" t="inlineStr">
        <is>
          <t>Unique</t>
        </is>
      </c>
      <c r="J38" s="3" t="inlineStr">
        <is>
          <t>Common</t>
        </is>
      </c>
      <c r="K38" s="5">
        <f>IF(NOT(OR(H38="Unique",I38="Unique",J38="Unique")),VLOOKUP(G38,'Role Families'!B:E,2,FALSE),IF(IF(VLOOKUP(G38,'Role Families'!B:E,2,FALSE)="Model",H38,IF(VLOOKUP(G38,'Role Families'!B:E,2,FALSE)="Industry",I38,J38))="Unique",VLOOKUP(G38,'Role Families'!B:E,2,FALSE),IF(IF(VLOOKUP(G38,'Role Families'!B:E,3,FALSE)="Model",H38,IF(VLOOKUP(G38,'Role Families'!B:E,3,FALSE)="Industry",I38,J38))="Unique",VLOOKUP(G38,'Role Families'!B:E,3,FALSE),VLOOKUP(G38,'Role Families'!B:E,4,FALSE))))</f>
        <v/>
      </c>
      <c r="L38" s="2">
        <f>IF(NOT(OR(H38="Unique",I38="Unique",J38="Unique")),VLOOKUP(G38,'Role Families'!B:E,3,FALSE),IF(IF(VLOOKUP(G38,'Role Families'!B:E,2,FALSE)="Model",H38,IF(VLOOKUP(G38,'Role Families'!B:E,2,FALSE)="Industry",I38,J38))="Unique",VLOOKUP(G38,'Role Families'!B:E,3,FALSE),VLOOKUP(G38,'Role Families'!B:E,2,FALSE)))</f>
        <v/>
      </c>
      <c r="M38" s="2">
        <f>IF(NOT(OR(H38="Unique",I38="Unique",J38="Unique")),VLOOKUP(G38,'Role Families'!B:E,4,FALSE),IF(IF(VLOOKUP(G38,'Role Families'!B:E,2,FALSE)="Model",H38,IF(VLOOKUP(G38,'Role Families'!B:E,2,FALSE)="Industry",I38,J38))="Unique",VLOOKUP(G38,'Role Families'!B:E,4,FALSE),IF(IF(VLOOKUP(G38,'Role Families'!B:E,3,FALSE)="Model",H38,IF(VLOOKUP(G38,'Role Families'!B:E,3,FALSE)="Industry",I38,J38))="Unique",VLOOKUP(G38,'Role Families'!B:E,4,FALSE),VLOOKUP(G38,'Role Families'!B:E,3,FALSE))))</f>
        <v/>
      </c>
    </row>
    <row r="39">
      <c r="A39" s="2" t="n">
        <v>38</v>
      </c>
      <c r="B39" s="2" t="inlineStr">
        <is>
          <t>ATI Restoration</t>
        </is>
      </c>
      <c r="C39" s="2" t="inlineStr">
        <is>
          <t>Disaster Recovery</t>
        </is>
      </c>
      <c r="D39" s="2" t="inlineStr">
        <is>
          <t>POC (% Completion)</t>
        </is>
      </c>
      <c r="E39" s="2" t="inlineStr">
        <is>
          <t>B2B Field Services</t>
        </is>
      </c>
      <c r="F39" s="2" t="inlineStr">
        <is>
          <t>CMO</t>
        </is>
      </c>
      <c r="G39" s="2" t="inlineStr">
        <is>
          <t>Marketing / Brand</t>
        </is>
      </c>
      <c r="H39" s="4" t="inlineStr">
        <is>
          <t>Unique</t>
        </is>
      </c>
      <c r="I39" s="4" t="inlineStr">
        <is>
          <t>Unique</t>
        </is>
      </c>
      <c r="J39" s="3" t="inlineStr">
        <is>
          <t>Common</t>
        </is>
      </c>
      <c r="K39" s="5">
        <f>IF(NOT(OR(H39="Unique",I39="Unique",J39="Unique")),VLOOKUP(G39,'Role Families'!B:E,2,FALSE),IF(IF(VLOOKUP(G39,'Role Families'!B:E,2,FALSE)="Model",H39,IF(VLOOKUP(G39,'Role Families'!B:E,2,FALSE)="Industry",I39,J39))="Unique",VLOOKUP(G39,'Role Families'!B:E,2,FALSE),IF(IF(VLOOKUP(G39,'Role Families'!B:E,3,FALSE)="Model",H39,IF(VLOOKUP(G39,'Role Families'!B:E,3,FALSE)="Industry",I39,J39))="Unique",VLOOKUP(G39,'Role Families'!B:E,3,FALSE),VLOOKUP(G39,'Role Families'!B:E,4,FALSE))))</f>
        <v/>
      </c>
      <c r="L39" s="2">
        <f>IF(NOT(OR(H39="Unique",I39="Unique",J39="Unique")),VLOOKUP(G39,'Role Families'!B:E,3,FALSE),IF(IF(VLOOKUP(G39,'Role Families'!B:E,2,FALSE)="Model",H39,IF(VLOOKUP(G39,'Role Families'!B:E,2,FALSE)="Industry",I39,J39))="Unique",VLOOKUP(G39,'Role Families'!B:E,3,FALSE),VLOOKUP(G39,'Role Families'!B:E,2,FALSE)))</f>
        <v/>
      </c>
      <c r="M39" s="2">
        <f>IF(NOT(OR(H39="Unique",I39="Unique",J39="Unique")),VLOOKUP(G39,'Role Families'!B:E,4,FALSE),IF(IF(VLOOKUP(G39,'Role Families'!B:E,2,FALSE)="Model",H39,IF(VLOOKUP(G39,'Role Families'!B:E,2,FALSE)="Industry",I39,J39))="Unique",VLOOKUP(G39,'Role Families'!B:E,4,FALSE),IF(IF(VLOOKUP(G39,'Role Families'!B:E,3,FALSE)="Model",H39,IF(VLOOKUP(G39,'Role Families'!B:E,3,FALSE)="Industry",I39,J39))="Unique",VLOOKUP(G39,'Role Families'!B:E,4,FALSE),VLOOKUP(G39,'Role Families'!B:E,3,FALSE))))</f>
        <v/>
      </c>
    </row>
    <row r="40">
      <c r="A40" s="2" t="n">
        <v>39</v>
      </c>
      <c r="B40" s="2" t="inlineStr">
        <is>
          <t>ATI Restoration</t>
        </is>
      </c>
      <c r="C40" s="2" t="inlineStr">
        <is>
          <t>Disaster Recovery</t>
        </is>
      </c>
      <c r="D40" s="2" t="inlineStr">
        <is>
          <t>POC (% Completion)</t>
        </is>
      </c>
      <c r="E40" s="2" t="inlineStr">
        <is>
          <t>B2B Field Services</t>
        </is>
      </c>
      <c r="F40" s="2" t="inlineStr">
        <is>
          <t>CHRO</t>
        </is>
      </c>
      <c r="G40" s="2" t="inlineStr">
        <is>
          <t>People / HR</t>
        </is>
      </c>
      <c r="H40" s="4" t="inlineStr">
        <is>
          <t>Unique</t>
        </is>
      </c>
      <c r="I40" s="4" t="inlineStr">
        <is>
          <t>Unique</t>
        </is>
      </c>
      <c r="J40" s="3" t="inlineStr">
        <is>
          <t>Common</t>
        </is>
      </c>
      <c r="K40" s="5">
        <f>IF(NOT(OR(H40="Unique",I40="Unique",J40="Unique")),VLOOKUP(G40,'Role Families'!B:E,2,FALSE),IF(IF(VLOOKUP(G40,'Role Families'!B:E,2,FALSE)="Model",H40,IF(VLOOKUP(G40,'Role Families'!B:E,2,FALSE)="Industry",I40,J40))="Unique",VLOOKUP(G40,'Role Families'!B:E,2,FALSE),IF(IF(VLOOKUP(G40,'Role Families'!B:E,3,FALSE)="Model",H40,IF(VLOOKUP(G40,'Role Families'!B:E,3,FALSE)="Industry",I40,J40))="Unique",VLOOKUP(G40,'Role Families'!B:E,3,FALSE),VLOOKUP(G40,'Role Families'!B:E,4,FALSE))))</f>
        <v/>
      </c>
      <c r="L40" s="2">
        <f>IF(NOT(OR(H40="Unique",I40="Unique",J40="Unique")),VLOOKUP(G40,'Role Families'!B:E,3,FALSE),IF(IF(VLOOKUP(G40,'Role Families'!B:E,2,FALSE)="Model",H40,IF(VLOOKUP(G40,'Role Families'!B:E,2,FALSE)="Industry",I40,J40))="Unique",VLOOKUP(G40,'Role Families'!B:E,3,FALSE),VLOOKUP(G40,'Role Families'!B:E,2,FALSE)))</f>
        <v/>
      </c>
      <c r="M40" s="2">
        <f>IF(NOT(OR(H40="Unique",I40="Unique",J40="Unique")),VLOOKUP(G40,'Role Families'!B:E,4,FALSE),IF(IF(VLOOKUP(G40,'Role Families'!B:E,2,FALSE)="Model",H40,IF(VLOOKUP(G40,'Role Families'!B:E,2,FALSE)="Industry",I40,J40))="Unique",VLOOKUP(G40,'Role Families'!B:E,4,FALSE),IF(IF(VLOOKUP(G40,'Role Families'!B:E,3,FALSE)="Model",H40,IF(VLOOKUP(G40,'Role Families'!B:E,3,FALSE)="Industry",I40,J40))="Unique",VLOOKUP(G40,'Role Families'!B:E,4,FALSE),VLOOKUP(G40,'Role Families'!B:E,3,FALSE))))</f>
        <v/>
      </c>
    </row>
    <row r="41">
      <c r="A41" s="2" t="n">
        <v>40</v>
      </c>
      <c r="B41" s="2" t="inlineStr">
        <is>
          <t>ATI Restoration</t>
        </is>
      </c>
      <c r="C41" s="2" t="inlineStr">
        <is>
          <t>Disaster Recovery</t>
        </is>
      </c>
      <c r="D41" s="2" t="inlineStr">
        <is>
          <t>POC (% Completion)</t>
        </is>
      </c>
      <c r="E41" s="2" t="inlineStr">
        <is>
          <t>B2B Field Services</t>
        </is>
      </c>
      <c r="F41" s="2" t="inlineStr">
        <is>
          <t>VP Sales</t>
        </is>
      </c>
      <c r="G41" s="2" t="inlineStr">
        <is>
          <t>Sales / Revenue</t>
        </is>
      </c>
      <c r="H41" s="4" t="inlineStr">
        <is>
          <t>Unique</t>
        </is>
      </c>
      <c r="I41" s="4" t="inlineStr">
        <is>
          <t>Unique</t>
        </is>
      </c>
      <c r="J41" s="3" t="inlineStr">
        <is>
          <t>Common</t>
        </is>
      </c>
      <c r="K41" s="5">
        <f>IF(NOT(OR(H41="Unique",I41="Unique",J41="Unique")),VLOOKUP(G41,'Role Families'!B:E,2,FALSE),IF(IF(VLOOKUP(G41,'Role Families'!B:E,2,FALSE)="Model",H41,IF(VLOOKUP(G41,'Role Families'!B:E,2,FALSE)="Industry",I41,J41))="Unique",VLOOKUP(G41,'Role Families'!B:E,2,FALSE),IF(IF(VLOOKUP(G41,'Role Families'!B:E,3,FALSE)="Model",H41,IF(VLOOKUP(G41,'Role Families'!B:E,3,FALSE)="Industry",I41,J41))="Unique",VLOOKUP(G41,'Role Families'!B:E,3,FALSE),VLOOKUP(G41,'Role Families'!B:E,4,FALSE))))</f>
        <v/>
      </c>
      <c r="L41" s="2">
        <f>IF(NOT(OR(H41="Unique",I41="Unique",J41="Unique")),VLOOKUP(G41,'Role Families'!B:E,3,FALSE),IF(IF(VLOOKUP(G41,'Role Families'!B:E,2,FALSE)="Model",H41,IF(VLOOKUP(G41,'Role Families'!B:E,2,FALSE)="Industry",I41,J41))="Unique",VLOOKUP(G41,'Role Families'!B:E,3,FALSE),VLOOKUP(G41,'Role Families'!B:E,2,FALSE)))</f>
        <v/>
      </c>
      <c r="M41" s="2">
        <f>IF(NOT(OR(H41="Unique",I41="Unique",J41="Unique")),VLOOKUP(G41,'Role Families'!B:E,4,FALSE),IF(IF(VLOOKUP(G41,'Role Families'!B:E,2,FALSE)="Model",H41,IF(VLOOKUP(G41,'Role Families'!B:E,2,FALSE)="Industry",I41,J41))="Unique",VLOOKUP(G41,'Role Families'!B:E,4,FALSE),IF(IF(VLOOKUP(G41,'Role Families'!B:E,3,FALSE)="Model",H41,IF(VLOOKUP(G41,'Role Families'!B:E,3,FALSE)="Industry",I41,J41))="Unique",VLOOKUP(G41,'Role Families'!B:E,4,FALSE),VLOOKUP(G41,'Role Families'!B:E,3,FALSE))))</f>
        <v/>
      </c>
    </row>
    <row r="42">
      <c r="A42" s="2" t="n">
        <v>41</v>
      </c>
      <c r="B42" s="2" t="inlineStr">
        <is>
          <t>Belfor Holdings</t>
        </is>
      </c>
      <c r="C42" s="2" t="inlineStr">
        <is>
          <t>Disaster Recovery</t>
        </is>
      </c>
      <c r="D42" s="2" t="inlineStr">
        <is>
          <t>POC (% Completion)</t>
        </is>
      </c>
      <c r="E42" s="2" t="inlineStr">
        <is>
          <t>B2B Field Services</t>
        </is>
      </c>
      <c r="F42" s="2" t="inlineStr">
        <is>
          <t>CFO</t>
        </is>
      </c>
      <c r="G42" s="2" t="inlineStr">
        <is>
          <t>Finance / Accounting</t>
        </is>
      </c>
      <c r="H42" s="4" t="inlineStr">
        <is>
          <t>Unique</t>
        </is>
      </c>
      <c r="I42" s="4" t="inlineStr">
        <is>
          <t>Unique</t>
        </is>
      </c>
      <c r="J42" s="3" t="inlineStr">
        <is>
          <t>Common</t>
        </is>
      </c>
      <c r="K42" s="5">
        <f>IF(NOT(OR(H42="Unique",I42="Unique",J42="Unique")),VLOOKUP(G42,'Role Families'!B:E,2,FALSE),IF(IF(VLOOKUP(G42,'Role Families'!B:E,2,FALSE)="Model",H42,IF(VLOOKUP(G42,'Role Families'!B:E,2,FALSE)="Industry",I42,J42))="Unique",VLOOKUP(G42,'Role Families'!B:E,2,FALSE),IF(IF(VLOOKUP(G42,'Role Families'!B:E,3,FALSE)="Model",H42,IF(VLOOKUP(G42,'Role Families'!B:E,3,FALSE)="Industry",I42,J42))="Unique",VLOOKUP(G42,'Role Families'!B:E,3,FALSE),VLOOKUP(G42,'Role Families'!B:E,4,FALSE))))</f>
        <v/>
      </c>
      <c r="L42" s="2">
        <f>IF(NOT(OR(H42="Unique",I42="Unique",J42="Unique")),VLOOKUP(G42,'Role Families'!B:E,3,FALSE),IF(IF(VLOOKUP(G42,'Role Families'!B:E,2,FALSE)="Model",H42,IF(VLOOKUP(G42,'Role Families'!B:E,2,FALSE)="Industry",I42,J42))="Unique",VLOOKUP(G42,'Role Families'!B:E,3,FALSE),VLOOKUP(G42,'Role Families'!B:E,2,FALSE)))</f>
        <v/>
      </c>
      <c r="M42" s="2">
        <f>IF(NOT(OR(H42="Unique",I42="Unique",J42="Unique")),VLOOKUP(G42,'Role Families'!B:E,4,FALSE),IF(IF(VLOOKUP(G42,'Role Families'!B:E,2,FALSE)="Model",H42,IF(VLOOKUP(G42,'Role Families'!B:E,2,FALSE)="Industry",I42,J42))="Unique",VLOOKUP(G42,'Role Families'!B:E,4,FALSE),IF(IF(VLOOKUP(G42,'Role Families'!B:E,3,FALSE)="Model",H42,IF(VLOOKUP(G42,'Role Families'!B:E,3,FALSE)="Industry",I42,J42))="Unique",VLOOKUP(G42,'Role Families'!B:E,4,FALSE),VLOOKUP(G42,'Role Families'!B:E,3,FALSE))))</f>
        <v/>
      </c>
    </row>
    <row r="43">
      <c r="A43" s="2" t="n">
        <v>42</v>
      </c>
      <c r="B43" s="2" t="inlineStr">
        <is>
          <t>Belfor Holdings</t>
        </is>
      </c>
      <c r="C43" s="2" t="inlineStr">
        <is>
          <t>Disaster Recovery</t>
        </is>
      </c>
      <c r="D43" s="2" t="inlineStr">
        <is>
          <t>POC (% Completion)</t>
        </is>
      </c>
      <c r="E43" s="2" t="inlineStr">
        <is>
          <t>B2B Field Services</t>
        </is>
      </c>
      <c r="F43" s="2" t="inlineStr">
        <is>
          <t>COO</t>
        </is>
      </c>
      <c r="G43" s="2" t="inlineStr">
        <is>
          <t>Operations / General Mgmt</t>
        </is>
      </c>
      <c r="H43" s="4" t="inlineStr">
        <is>
          <t>Unique</t>
        </is>
      </c>
      <c r="I43" s="4" t="inlineStr">
        <is>
          <t>Unique</t>
        </is>
      </c>
      <c r="J43" s="3" t="inlineStr">
        <is>
          <t>Common</t>
        </is>
      </c>
      <c r="K43" s="5">
        <f>IF(NOT(OR(H43="Unique",I43="Unique",J43="Unique")),VLOOKUP(G43,'Role Families'!B:E,2,FALSE),IF(IF(VLOOKUP(G43,'Role Families'!B:E,2,FALSE)="Model",H43,IF(VLOOKUP(G43,'Role Families'!B:E,2,FALSE)="Industry",I43,J43))="Unique",VLOOKUP(G43,'Role Families'!B:E,2,FALSE),IF(IF(VLOOKUP(G43,'Role Families'!B:E,3,FALSE)="Model",H43,IF(VLOOKUP(G43,'Role Families'!B:E,3,FALSE)="Industry",I43,J43))="Unique",VLOOKUP(G43,'Role Families'!B:E,3,FALSE),VLOOKUP(G43,'Role Families'!B:E,4,FALSE))))</f>
        <v/>
      </c>
      <c r="L43" s="2">
        <f>IF(NOT(OR(H43="Unique",I43="Unique",J43="Unique")),VLOOKUP(G43,'Role Families'!B:E,3,FALSE),IF(IF(VLOOKUP(G43,'Role Families'!B:E,2,FALSE)="Model",H43,IF(VLOOKUP(G43,'Role Families'!B:E,2,FALSE)="Industry",I43,J43))="Unique",VLOOKUP(G43,'Role Families'!B:E,3,FALSE),VLOOKUP(G43,'Role Families'!B:E,2,FALSE)))</f>
        <v/>
      </c>
      <c r="M43" s="2">
        <f>IF(NOT(OR(H43="Unique",I43="Unique",J43="Unique")),VLOOKUP(G43,'Role Families'!B:E,4,FALSE),IF(IF(VLOOKUP(G43,'Role Families'!B:E,2,FALSE)="Model",H43,IF(VLOOKUP(G43,'Role Families'!B:E,2,FALSE)="Industry",I43,J43))="Unique",VLOOKUP(G43,'Role Families'!B:E,4,FALSE),IF(IF(VLOOKUP(G43,'Role Families'!B:E,3,FALSE)="Model",H43,IF(VLOOKUP(G43,'Role Families'!B:E,3,FALSE)="Industry",I43,J43))="Unique",VLOOKUP(G43,'Role Families'!B:E,4,FALSE),VLOOKUP(G43,'Role Families'!B:E,3,FALSE))))</f>
        <v/>
      </c>
    </row>
    <row r="44">
      <c r="A44" s="2" t="n">
        <v>43</v>
      </c>
      <c r="B44" s="2" t="inlineStr">
        <is>
          <t>ServiceMaster</t>
        </is>
      </c>
      <c r="C44" s="2" t="inlineStr">
        <is>
          <t>Facility Services</t>
        </is>
      </c>
      <c r="D44" s="2" t="inlineStr">
        <is>
          <t>Franchise</t>
        </is>
      </c>
      <c r="E44" s="2" t="inlineStr">
        <is>
          <t>B2B Field Services</t>
        </is>
      </c>
      <c r="F44" s="2" t="inlineStr">
        <is>
          <t>CMO</t>
        </is>
      </c>
      <c r="G44" s="2" t="inlineStr">
        <is>
          <t>Marketing / Brand</t>
        </is>
      </c>
      <c r="H44" s="3" t="inlineStr">
        <is>
          <t>Common</t>
        </is>
      </c>
      <c r="I44" s="3" t="inlineStr">
        <is>
          <t>Common</t>
        </is>
      </c>
      <c r="J44" s="3" t="inlineStr">
        <is>
          <t>Common</t>
        </is>
      </c>
      <c r="K44" s="5">
        <f>IF(NOT(OR(H44="Unique",I44="Unique",J44="Unique")),VLOOKUP(G44,'Role Families'!B:E,2,FALSE),IF(IF(VLOOKUP(G44,'Role Families'!B:E,2,FALSE)="Model",H44,IF(VLOOKUP(G44,'Role Families'!B:E,2,FALSE)="Industry",I44,J44))="Unique",VLOOKUP(G44,'Role Families'!B:E,2,FALSE),IF(IF(VLOOKUP(G44,'Role Families'!B:E,3,FALSE)="Model",H44,IF(VLOOKUP(G44,'Role Families'!B:E,3,FALSE)="Industry",I44,J44))="Unique",VLOOKUP(G44,'Role Families'!B:E,3,FALSE),VLOOKUP(G44,'Role Families'!B:E,4,FALSE))))</f>
        <v/>
      </c>
      <c r="L44" s="2">
        <f>IF(NOT(OR(H44="Unique",I44="Unique",J44="Unique")),VLOOKUP(G44,'Role Families'!B:E,3,FALSE),IF(IF(VLOOKUP(G44,'Role Families'!B:E,2,FALSE)="Model",H44,IF(VLOOKUP(G44,'Role Families'!B:E,2,FALSE)="Industry",I44,J44))="Unique",VLOOKUP(G44,'Role Families'!B:E,3,FALSE),VLOOKUP(G44,'Role Families'!B:E,2,FALSE)))</f>
        <v/>
      </c>
      <c r="M44" s="2">
        <f>IF(NOT(OR(H44="Unique",I44="Unique",J44="Unique")),VLOOKUP(G44,'Role Families'!B:E,4,FALSE),IF(IF(VLOOKUP(G44,'Role Families'!B:E,2,FALSE)="Model",H44,IF(VLOOKUP(G44,'Role Families'!B:E,2,FALSE)="Industry",I44,J44))="Unique",VLOOKUP(G44,'Role Families'!B:E,4,FALSE),IF(IF(VLOOKUP(G44,'Role Families'!B:E,3,FALSE)="Model",H44,IF(VLOOKUP(G44,'Role Families'!B:E,3,FALSE)="Industry",I44,J44))="Unique",VLOOKUP(G44,'Role Families'!B:E,4,FALSE),VLOOKUP(G44,'Role Families'!B:E,3,FALSE))))</f>
        <v/>
      </c>
    </row>
    <row r="45">
      <c r="A45" s="2" t="n">
        <v>44</v>
      </c>
      <c r="B45" s="2" t="inlineStr">
        <is>
          <t>Terminix</t>
        </is>
      </c>
      <c r="C45" s="2" t="inlineStr">
        <is>
          <t>Pest Control / Home Services</t>
        </is>
      </c>
      <c r="D45" s="2" t="inlineStr">
        <is>
          <t>Franchise</t>
        </is>
      </c>
      <c r="E45" s="2" t="inlineStr">
        <is>
          <t>B2C Field Services</t>
        </is>
      </c>
      <c r="F45" s="2" t="inlineStr">
        <is>
          <t>CFO</t>
        </is>
      </c>
      <c r="G45" s="2" t="inlineStr">
        <is>
          <t>Finance / Accounting</t>
        </is>
      </c>
      <c r="H45" s="3" t="inlineStr">
        <is>
          <t>Common</t>
        </is>
      </c>
      <c r="I45" s="3" t="inlineStr">
        <is>
          <t>Common</t>
        </is>
      </c>
      <c r="J45" s="3" t="inlineStr">
        <is>
          <t>Common</t>
        </is>
      </c>
      <c r="K45" s="5">
        <f>IF(NOT(OR(H45="Unique",I45="Unique",J45="Unique")),VLOOKUP(G45,'Role Families'!B:E,2,FALSE),IF(IF(VLOOKUP(G45,'Role Families'!B:E,2,FALSE)="Model",H45,IF(VLOOKUP(G45,'Role Families'!B:E,2,FALSE)="Industry",I45,J45))="Unique",VLOOKUP(G45,'Role Families'!B:E,2,FALSE),IF(IF(VLOOKUP(G45,'Role Families'!B:E,3,FALSE)="Model",H45,IF(VLOOKUP(G45,'Role Families'!B:E,3,FALSE)="Industry",I45,J45))="Unique",VLOOKUP(G45,'Role Families'!B:E,3,FALSE),VLOOKUP(G45,'Role Families'!B:E,4,FALSE))))</f>
        <v/>
      </c>
      <c r="L45" s="2">
        <f>IF(NOT(OR(H45="Unique",I45="Unique",J45="Unique")),VLOOKUP(G45,'Role Families'!B:E,3,FALSE),IF(IF(VLOOKUP(G45,'Role Families'!B:E,2,FALSE)="Model",H45,IF(VLOOKUP(G45,'Role Families'!B:E,2,FALSE)="Industry",I45,J45))="Unique",VLOOKUP(G45,'Role Families'!B:E,3,FALSE),VLOOKUP(G45,'Role Families'!B:E,2,FALSE)))</f>
        <v/>
      </c>
      <c r="M45" s="2">
        <f>IF(NOT(OR(H45="Unique",I45="Unique",J45="Unique")),VLOOKUP(G45,'Role Families'!B:E,4,FALSE),IF(IF(VLOOKUP(G45,'Role Families'!B:E,2,FALSE)="Model",H45,IF(VLOOKUP(G45,'Role Families'!B:E,2,FALSE)="Industry",I45,J45))="Unique",VLOOKUP(G45,'Role Families'!B:E,4,FALSE),IF(IF(VLOOKUP(G45,'Role Families'!B:E,3,FALSE)="Model",H45,IF(VLOOKUP(G45,'Role Families'!B:E,3,FALSE)="Industry",I45,J45))="Unique",VLOOKUP(G45,'Role Families'!B:E,4,FALSE),VLOOKUP(G45,'Role Families'!B:E,3,FALSE))))</f>
        <v/>
      </c>
    </row>
    <row r="46">
      <c r="A46" s="2" t="n">
        <v>45</v>
      </c>
      <c r="B46" s="2" t="inlineStr">
        <is>
          <t>Terminix</t>
        </is>
      </c>
      <c r="C46" s="2" t="inlineStr">
        <is>
          <t>Pest Control / Home Services</t>
        </is>
      </c>
      <c r="D46" s="2" t="inlineStr">
        <is>
          <t>Franchise</t>
        </is>
      </c>
      <c r="E46" s="2" t="inlineStr">
        <is>
          <t>B2C Field Services</t>
        </is>
      </c>
      <c r="F46" s="2" t="inlineStr">
        <is>
          <t>General Counsel</t>
        </is>
      </c>
      <c r="G46" s="2" t="inlineStr">
        <is>
          <t>Legal / Compliance</t>
        </is>
      </c>
      <c r="H46" s="3" t="inlineStr">
        <is>
          <t>Common</t>
        </is>
      </c>
      <c r="I46" s="3" t="inlineStr">
        <is>
          <t>Common</t>
        </is>
      </c>
      <c r="J46" s="3" t="inlineStr">
        <is>
          <t>Common</t>
        </is>
      </c>
      <c r="K46" s="5">
        <f>IF(NOT(OR(H46="Unique",I46="Unique",J46="Unique")),VLOOKUP(G46,'Role Families'!B:E,2,FALSE),IF(IF(VLOOKUP(G46,'Role Families'!B:E,2,FALSE)="Model",H46,IF(VLOOKUP(G46,'Role Families'!B:E,2,FALSE)="Industry",I46,J46))="Unique",VLOOKUP(G46,'Role Families'!B:E,2,FALSE),IF(IF(VLOOKUP(G46,'Role Families'!B:E,3,FALSE)="Model",H46,IF(VLOOKUP(G46,'Role Families'!B:E,3,FALSE)="Industry",I46,J46))="Unique",VLOOKUP(G46,'Role Families'!B:E,3,FALSE),VLOOKUP(G46,'Role Families'!B:E,4,FALSE))))</f>
        <v/>
      </c>
      <c r="L46" s="2">
        <f>IF(NOT(OR(H46="Unique",I46="Unique",J46="Unique")),VLOOKUP(G46,'Role Families'!B:E,3,FALSE),IF(IF(VLOOKUP(G46,'Role Families'!B:E,2,FALSE)="Model",H46,IF(VLOOKUP(G46,'Role Families'!B:E,2,FALSE)="Industry",I46,J46))="Unique",VLOOKUP(G46,'Role Families'!B:E,3,FALSE),VLOOKUP(G46,'Role Families'!B:E,2,FALSE)))</f>
        <v/>
      </c>
      <c r="M46" s="2">
        <f>IF(NOT(OR(H46="Unique",I46="Unique",J46="Unique")),VLOOKUP(G46,'Role Families'!B:E,4,FALSE),IF(IF(VLOOKUP(G46,'Role Families'!B:E,2,FALSE)="Model",H46,IF(VLOOKUP(G46,'Role Families'!B:E,2,FALSE)="Industry",I46,J46))="Unique",VLOOKUP(G46,'Role Families'!B:E,4,FALSE),IF(IF(VLOOKUP(G46,'Role Families'!B:E,3,FALSE)="Model",H46,IF(VLOOKUP(G46,'Role Families'!B:E,3,FALSE)="Industry",I46,J46))="Unique",VLOOKUP(G46,'Role Families'!B:E,4,FALSE),VLOOKUP(G46,'Role Families'!B:E,3,FALSE))))</f>
        <v/>
      </c>
    </row>
    <row r="47">
      <c r="A47" s="2" t="n">
        <v>46</v>
      </c>
      <c r="B47" s="2" t="inlineStr">
        <is>
          <t>Peloton</t>
        </is>
      </c>
      <c r="C47" s="2" t="inlineStr">
        <is>
          <t>Connected Fitness</t>
        </is>
      </c>
      <c r="D47" s="2" t="inlineStr">
        <is>
          <t>Subscription + Hardware</t>
        </is>
      </c>
      <c r="E47" s="2" t="inlineStr">
        <is>
          <t>Digital Platform (Connected)</t>
        </is>
      </c>
      <c r="F47" s="2" t="inlineStr">
        <is>
          <t>CFO</t>
        </is>
      </c>
      <c r="G47" s="2" t="inlineStr">
        <is>
          <t>Finance / Accounting</t>
        </is>
      </c>
      <c r="H47" s="3" t="inlineStr">
        <is>
          <t>Common</t>
        </is>
      </c>
      <c r="I47" s="4" t="inlineStr">
        <is>
          <t>Unique</t>
        </is>
      </c>
      <c r="J47" s="3" t="inlineStr">
        <is>
          <t>Common</t>
        </is>
      </c>
      <c r="K47" s="5">
        <f>IF(NOT(OR(H47="Unique",I47="Unique",J47="Unique")),VLOOKUP(G47,'Role Families'!B:E,2,FALSE),IF(IF(VLOOKUP(G47,'Role Families'!B:E,2,FALSE)="Model",H47,IF(VLOOKUP(G47,'Role Families'!B:E,2,FALSE)="Industry",I47,J47))="Unique",VLOOKUP(G47,'Role Families'!B:E,2,FALSE),IF(IF(VLOOKUP(G47,'Role Families'!B:E,3,FALSE)="Model",H47,IF(VLOOKUP(G47,'Role Families'!B:E,3,FALSE)="Industry",I47,J47))="Unique",VLOOKUP(G47,'Role Families'!B:E,3,FALSE),VLOOKUP(G47,'Role Families'!B:E,4,FALSE))))</f>
        <v/>
      </c>
      <c r="L47" s="2">
        <f>IF(NOT(OR(H47="Unique",I47="Unique",J47="Unique")),VLOOKUP(G47,'Role Families'!B:E,3,FALSE),IF(IF(VLOOKUP(G47,'Role Families'!B:E,2,FALSE)="Model",H47,IF(VLOOKUP(G47,'Role Families'!B:E,2,FALSE)="Industry",I47,J47))="Unique",VLOOKUP(G47,'Role Families'!B:E,3,FALSE),VLOOKUP(G47,'Role Families'!B:E,2,FALSE)))</f>
        <v/>
      </c>
      <c r="M47" s="2">
        <f>IF(NOT(OR(H47="Unique",I47="Unique",J47="Unique")),VLOOKUP(G47,'Role Families'!B:E,4,FALSE),IF(IF(VLOOKUP(G47,'Role Families'!B:E,2,FALSE)="Model",H47,IF(VLOOKUP(G47,'Role Families'!B:E,2,FALSE)="Industry",I47,J47))="Unique",VLOOKUP(G47,'Role Families'!B:E,4,FALSE),IF(IF(VLOOKUP(G47,'Role Families'!B:E,3,FALSE)="Model",H47,IF(VLOOKUP(G47,'Role Families'!B:E,3,FALSE)="Industry",I47,J47))="Unique",VLOOKUP(G47,'Role Families'!B:E,4,FALSE),VLOOKUP(G47,'Role Families'!B:E,3,FALSE))))</f>
        <v/>
      </c>
    </row>
    <row r="48">
      <c r="A48" s="2" t="n">
        <v>47</v>
      </c>
      <c r="B48" s="2" t="inlineStr">
        <is>
          <t>Peloton</t>
        </is>
      </c>
      <c r="C48" s="2" t="inlineStr">
        <is>
          <t>Connected Fitness</t>
        </is>
      </c>
      <c r="D48" s="2" t="inlineStr">
        <is>
          <t>Subscription + Hardware</t>
        </is>
      </c>
      <c r="E48" s="2" t="inlineStr">
        <is>
          <t>Digital Platform (Connected)</t>
        </is>
      </c>
      <c r="F48" s="2" t="inlineStr">
        <is>
          <t>CTO</t>
        </is>
      </c>
      <c r="G48" s="2" t="inlineStr">
        <is>
          <t>Technology / Engineering</t>
        </is>
      </c>
      <c r="H48" s="3" t="inlineStr">
        <is>
          <t>Common</t>
        </is>
      </c>
      <c r="I48" s="4" t="inlineStr">
        <is>
          <t>Unique</t>
        </is>
      </c>
      <c r="J48" s="3" t="inlineStr">
        <is>
          <t>Common</t>
        </is>
      </c>
      <c r="K48" s="5">
        <f>IF(NOT(OR(H48="Unique",I48="Unique",J48="Unique")),VLOOKUP(G48,'Role Families'!B:E,2,FALSE),IF(IF(VLOOKUP(G48,'Role Families'!B:E,2,FALSE)="Model",H48,IF(VLOOKUP(G48,'Role Families'!B:E,2,FALSE)="Industry",I48,J48))="Unique",VLOOKUP(G48,'Role Families'!B:E,2,FALSE),IF(IF(VLOOKUP(G48,'Role Families'!B:E,3,FALSE)="Model",H48,IF(VLOOKUP(G48,'Role Families'!B:E,3,FALSE)="Industry",I48,J48))="Unique",VLOOKUP(G48,'Role Families'!B:E,3,FALSE),VLOOKUP(G48,'Role Families'!B:E,4,FALSE))))</f>
        <v/>
      </c>
      <c r="L48" s="2">
        <f>IF(NOT(OR(H48="Unique",I48="Unique",J48="Unique")),VLOOKUP(G48,'Role Families'!B:E,3,FALSE),IF(IF(VLOOKUP(G48,'Role Families'!B:E,2,FALSE)="Model",H48,IF(VLOOKUP(G48,'Role Families'!B:E,2,FALSE)="Industry",I48,J48))="Unique",VLOOKUP(G48,'Role Families'!B:E,3,FALSE),VLOOKUP(G48,'Role Families'!B:E,2,FALSE)))</f>
        <v/>
      </c>
      <c r="M48" s="2">
        <f>IF(NOT(OR(H48="Unique",I48="Unique",J48="Unique")),VLOOKUP(G48,'Role Families'!B:E,4,FALSE),IF(IF(VLOOKUP(G48,'Role Families'!B:E,2,FALSE)="Model",H48,IF(VLOOKUP(G48,'Role Families'!B:E,2,FALSE)="Industry",I48,J48))="Unique",VLOOKUP(G48,'Role Families'!B:E,4,FALSE),IF(IF(VLOOKUP(G48,'Role Families'!B:E,3,FALSE)="Model",H48,IF(VLOOKUP(G48,'Role Families'!B:E,3,FALSE)="Industry",I48,J48))="Unique",VLOOKUP(G48,'Role Families'!B:E,4,FALSE),VLOOKUP(G48,'Role Families'!B:E,3,FALSE))))</f>
        <v/>
      </c>
    </row>
    <row r="49">
      <c r="A49" s="2" t="n">
        <v>48</v>
      </c>
      <c r="B49" s="2" t="inlineStr">
        <is>
          <t>Peloton</t>
        </is>
      </c>
      <c r="C49" s="2" t="inlineStr">
        <is>
          <t>Connected Fitness</t>
        </is>
      </c>
      <c r="D49" s="2" t="inlineStr">
        <is>
          <t>Subscription + Hardware</t>
        </is>
      </c>
      <c r="E49" s="2" t="inlineStr">
        <is>
          <t>Digital Platform (Connected)</t>
        </is>
      </c>
      <c r="F49" s="2" t="inlineStr">
        <is>
          <t>VP Product</t>
        </is>
      </c>
      <c r="G49" s="2" t="inlineStr">
        <is>
          <t>Product</t>
        </is>
      </c>
      <c r="H49" s="3" t="inlineStr">
        <is>
          <t>Common</t>
        </is>
      </c>
      <c r="I49" s="4" t="inlineStr">
        <is>
          <t>Unique</t>
        </is>
      </c>
      <c r="J49" s="3" t="inlineStr">
        <is>
          <t>Common</t>
        </is>
      </c>
      <c r="K49" s="5">
        <f>IF(NOT(OR(H49="Unique",I49="Unique",J49="Unique")),VLOOKUP(G49,'Role Families'!B:E,2,FALSE),IF(IF(VLOOKUP(G49,'Role Families'!B:E,2,FALSE)="Model",H49,IF(VLOOKUP(G49,'Role Families'!B:E,2,FALSE)="Industry",I49,J49))="Unique",VLOOKUP(G49,'Role Families'!B:E,2,FALSE),IF(IF(VLOOKUP(G49,'Role Families'!B:E,3,FALSE)="Model",H49,IF(VLOOKUP(G49,'Role Families'!B:E,3,FALSE)="Industry",I49,J49))="Unique",VLOOKUP(G49,'Role Families'!B:E,3,FALSE),VLOOKUP(G49,'Role Families'!B:E,4,FALSE))))</f>
        <v/>
      </c>
      <c r="L49" s="2">
        <f>IF(NOT(OR(H49="Unique",I49="Unique",J49="Unique")),VLOOKUP(G49,'Role Families'!B:E,3,FALSE),IF(IF(VLOOKUP(G49,'Role Families'!B:E,2,FALSE)="Model",H49,IF(VLOOKUP(G49,'Role Families'!B:E,2,FALSE)="Industry",I49,J49))="Unique",VLOOKUP(G49,'Role Families'!B:E,3,FALSE),VLOOKUP(G49,'Role Families'!B:E,2,FALSE)))</f>
        <v/>
      </c>
      <c r="M49" s="2">
        <f>IF(NOT(OR(H49="Unique",I49="Unique",J49="Unique")),VLOOKUP(G49,'Role Families'!B:E,4,FALSE),IF(IF(VLOOKUP(G49,'Role Families'!B:E,2,FALSE)="Model",H49,IF(VLOOKUP(G49,'Role Families'!B:E,2,FALSE)="Industry",I49,J49))="Unique",VLOOKUP(G49,'Role Families'!B:E,4,FALSE),IF(IF(VLOOKUP(G49,'Role Families'!B:E,3,FALSE)="Model",H49,IF(VLOOKUP(G49,'Role Families'!B:E,3,FALSE)="Industry",I49,J49))="Unique",VLOOKUP(G49,'Role Families'!B:E,4,FALSE),VLOOKUP(G49,'Role Families'!B:E,3,FALSE))))</f>
        <v/>
      </c>
    </row>
    <row r="50">
      <c r="A50" s="2" t="n">
        <v>49</v>
      </c>
      <c r="B50" s="2" t="inlineStr">
        <is>
          <t>Planet Fitness</t>
        </is>
      </c>
      <c r="C50" s="2" t="inlineStr">
        <is>
          <t>Fitness / Wellness</t>
        </is>
      </c>
      <c r="D50" s="2" t="inlineStr">
        <is>
          <t>Franchise</t>
        </is>
      </c>
      <c r="E50" s="2" t="inlineStr">
        <is>
          <t>Multi-unit Four-wall</t>
        </is>
      </c>
      <c r="F50" s="2" t="inlineStr">
        <is>
          <t>VP Sales</t>
        </is>
      </c>
      <c r="G50" s="2" t="inlineStr">
        <is>
          <t>Sales / Revenue</t>
        </is>
      </c>
      <c r="H50" s="3" t="inlineStr">
        <is>
          <t>Common</t>
        </is>
      </c>
      <c r="I50" s="3" t="inlineStr">
        <is>
          <t>Common</t>
        </is>
      </c>
      <c r="J50" s="3" t="inlineStr">
        <is>
          <t>Common</t>
        </is>
      </c>
      <c r="K50" s="5">
        <f>IF(NOT(OR(H50="Unique",I50="Unique",J50="Unique")),VLOOKUP(G50,'Role Families'!B:E,2,FALSE),IF(IF(VLOOKUP(G50,'Role Families'!B:E,2,FALSE)="Model",H50,IF(VLOOKUP(G50,'Role Families'!B:E,2,FALSE)="Industry",I50,J50))="Unique",VLOOKUP(G50,'Role Families'!B:E,2,FALSE),IF(IF(VLOOKUP(G50,'Role Families'!B:E,3,FALSE)="Model",H50,IF(VLOOKUP(G50,'Role Families'!B:E,3,FALSE)="Industry",I50,J50))="Unique",VLOOKUP(G50,'Role Families'!B:E,3,FALSE),VLOOKUP(G50,'Role Families'!B:E,4,FALSE))))</f>
        <v/>
      </c>
      <c r="L50" s="2">
        <f>IF(NOT(OR(H50="Unique",I50="Unique",J50="Unique")),VLOOKUP(G50,'Role Families'!B:E,3,FALSE),IF(IF(VLOOKUP(G50,'Role Families'!B:E,2,FALSE)="Model",H50,IF(VLOOKUP(G50,'Role Families'!B:E,2,FALSE)="Industry",I50,J50))="Unique",VLOOKUP(G50,'Role Families'!B:E,3,FALSE),VLOOKUP(G50,'Role Families'!B:E,2,FALSE)))</f>
        <v/>
      </c>
      <c r="M50" s="2">
        <f>IF(NOT(OR(H50="Unique",I50="Unique",J50="Unique")),VLOOKUP(G50,'Role Families'!B:E,4,FALSE),IF(IF(VLOOKUP(G50,'Role Families'!B:E,2,FALSE)="Model",H50,IF(VLOOKUP(G50,'Role Families'!B:E,2,FALSE)="Industry",I50,J50))="Unique",VLOOKUP(G50,'Role Families'!B:E,4,FALSE),IF(IF(VLOOKUP(G50,'Role Families'!B:E,3,FALSE)="Model",H50,IF(VLOOKUP(G50,'Role Families'!B:E,3,FALSE)="Industry",I50,J50))="Unique",VLOOKUP(G50,'Role Families'!B:E,4,FALSE),VLOOKUP(G50,'Role Families'!B:E,3,FALSE))))</f>
        <v/>
      </c>
    </row>
    <row r="51">
      <c r="A51" s="2" t="n">
        <v>50</v>
      </c>
      <c r="B51" s="2" t="inlineStr">
        <is>
          <t>Planet Fitness</t>
        </is>
      </c>
      <c r="C51" s="2" t="inlineStr">
        <is>
          <t>Fitness / Wellness</t>
        </is>
      </c>
      <c r="D51" s="2" t="inlineStr">
        <is>
          <t>Franchise</t>
        </is>
      </c>
      <c r="E51" s="2" t="inlineStr">
        <is>
          <t>Multi-unit Four-wall</t>
        </is>
      </c>
      <c r="F51" s="2" t="inlineStr">
        <is>
          <t>CMO</t>
        </is>
      </c>
      <c r="G51" s="2" t="inlineStr">
        <is>
          <t>Marketing / Brand</t>
        </is>
      </c>
      <c r="H51" s="3" t="inlineStr">
        <is>
          <t>Common</t>
        </is>
      </c>
      <c r="I51" s="3" t="inlineStr">
        <is>
          <t>Common</t>
        </is>
      </c>
      <c r="J51" s="3" t="inlineStr">
        <is>
          <t>Common</t>
        </is>
      </c>
      <c r="K51" s="5">
        <f>IF(NOT(OR(H51="Unique",I51="Unique",J51="Unique")),VLOOKUP(G51,'Role Families'!B:E,2,FALSE),IF(IF(VLOOKUP(G51,'Role Families'!B:E,2,FALSE)="Model",H51,IF(VLOOKUP(G51,'Role Families'!B:E,2,FALSE)="Industry",I51,J51))="Unique",VLOOKUP(G51,'Role Families'!B:E,2,FALSE),IF(IF(VLOOKUP(G51,'Role Families'!B:E,3,FALSE)="Model",H51,IF(VLOOKUP(G51,'Role Families'!B:E,3,FALSE)="Industry",I51,J51))="Unique",VLOOKUP(G51,'Role Families'!B:E,3,FALSE),VLOOKUP(G51,'Role Families'!B:E,4,FALSE))))</f>
        <v/>
      </c>
      <c r="L51" s="2">
        <f>IF(NOT(OR(H51="Unique",I51="Unique",J51="Unique")),VLOOKUP(G51,'Role Families'!B:E,3,FALSE),IF(IF(VLOOKUP(G51,'Role Families'!B:E,2,FALSE)="Model",H51,IF(VLOOKUP(G51,'Role Families'!B:E,2,FALSE)="Industry",I51,J51))="Unique",VLOOKUP(G51,'Role Families'!B:E,3,FALSE),VLOOKUP(G51,'Role Families'!B:E,2,FALSE)))</f>
        <v/>
      </c>
      <c r="M51" s="2">
        <f>IF(NOT(OR(H51="Unique",I51="Unique",J51="Unique")),VLOOKUP(G51,'Role Families'!B:E,4,FALSE),IF(IF(VLOOKUP(G51,'Role Families'!B:E,2,FALSE)="Model",H51,IF(VLOOKUP(G51,'Role Families'!B:E,2,FALSE)="Industry",I51,J51))="Unique",VLOOKUP(G51,'Role Families'!B:E,4,FALSE),IF(IF(VLOOKUP(G51,'Role Families'!B:E,3,FALSE)="Model",H51,IF(VLOOKUP(G51,'Role Families'!B:E,3,FALSE)="Industry",I51,J51))="Unique",VLOOKUP(G51,'Role Families'!B:E,4,FALSE),VLOOKUP(G51,'Role Families'!B:E,3,FALSE))))</f>
        <v/>
      </c>
    </row>
    <row r="52">
      <c r="A52" s="2" t="n">
        <v>51</v>
      </c>
      <c r="B52" s="2" t="inlineStr">
        <is>
          <t>Orangetheory Fitness</t>
        </is>
      </c>
      <c r="C52" s="2" t="inlineStr">
        <is>
          <t>Fitness / Wellness</t>
        </is>
      </c>
      <c r="D52" s="2" t="inlineStr">
        <is>
          <t>Franchise (Membership)</t>
        </is>
      </c>
      <c r="E52" s="2" t="inlineStr">
        <is>
          <t>Multi-unit Four-wall</t>
        </is>
      </c>
      <c r="F52" s="2" t="inlineStr">
        <is>
          <t>CFO</t>
        </is>
      </c>
      <c r="G52" s="2" t="inlineStr">
        <is>
          <t>Finance / Accounting</t>
        </is>
      </c>
      <c r="H52" s="3" t="inlineStr">
        <is>
          <t>Common</t>
        </is>
      </c>
      <c r="I52" s="3" t="inlineStr">
        <is>
          <t>Common</t>
        </is>
      </c>
      <c r="J52" s="3" t="inlineStr">
        <is>
          <t>Common</t>
        </is>
      </c>
      <c r="K52" s="5">
        <f>IF(NOT(OR(H52="Unique",I52="Unique",J52="Unique")),VLOOKUP(G52,'Role Families'!B:E,2,FALSE),IF(IF(VLOOKUP(G52,'Role Families'!B:E,2,FALSE)="Model",H52,IF(VLOOKUP(G52,'Role Families'!B:E,2,FALSE)="Industry",I52,J52))="Unique",VLOOKUP(G52,'Role Families'!B:E,2,FALSE),IF(IF(VLOOKUP(G52,'Role Families'!B:E,3,FALSE)="Model",H52,IF(VLOOKUP(G52,'Role Families'!B:E,3,FALSE)="Industry",I52,J52))="Unique",VLOOKUP(G52,'Role Families'!B:E,3,FALSE),VLOOKUP(G52,'Role Families'!B:E,4,FALSE))))</f>
        <v/>
      </c>
      <c r="L52" s="2">
        <f>IF(NOT(OR(H52="Unique",I52="Unique",J52="Unique")),VLOOKUP(G52,'Role Families'!B:E,3,FALSE),IF(IF(VLOOKUP(G52,'Role Families'!B:E,2,FALSE)="Model",H52,IF(VLOOKUP(G52,'Role Families'!B:E,2,FALSE)="Industry",I52,J52))="Unique",VLOOKUP(G52,'Role Families'!B:E,3,FALSE),VLOOKUP(G52,'Role Families'!B:E,2,FALSE)))</f>
        <v/>
      </c>
      <c r="M52" s="2">
        <f>IF(NOT(OR(H52="Unique",I52="Unique",J52="Unique")),VLOOKUP(G52,'Role Families'!B:E,4,FALSE),IF(IF(VLOOKUP(G52,'Role Families'!B:E,2,FALSE)="Model",H52,IF(VLOOKUP(G52,'Role Families'!B:E,2,FALSE)="Industry",I52,J52))="Unique",VLOOKUP(G52,'Role Families'!B:E,4,FALSE),IF(IF(VLOOKUP(G52,'Role Families'!B:E,3,FALSE)="Model",H52,IF(VLOOKUP(G52,'Role Families'!B:E,3,FALSE)="Industry",I52,J52))="Unique",VLOOKUP(G52,'Role Families'!B:E,4,FALSE),VLOOKUP(G52,'Role Families'!B:E,3,FALSE))))</f>
        <v/>
      </c>
    </row>
    <row r="53">
      <c r="A53" s="2" t="n">
        <v>52</v>
      </c>
      <c r="B53" s="2" t="inlineStr">
        <is>
          <t>Equinox</t>
        </is>
      </c>
      <c r="C53" s="2" t="inlineStr">
        <is>
          <t>Premium Fitness</t>
        </is>
      </c>
      <c r="D53" s="2" t="inlineStr">
        <is>
          <t>Membership</t>
        </is>
      </c>
      <c r="E53" s="2" t="inlineStr">
        <is>
          <t>Multi-unit Four-wall</t>
        </is>
      </c>
      <c r="F53" s="2" t="inlineStr">
        <is>
          <t>CMO</t>
        </is>
      </c>
      <c r="G53" s="2" t="inlineStr">
        <is>
          <t>Marketing / Brand</t>
        </is>
      </c>
      <c r="H53" s="3" t="inlineStr">
        <is>
          <t>Common</t>
        </is>
      </c>
      <c r="I53" s="3" t="inlineStr">
        <is>
          <t>Common</t>
        </is>
      </c>
      <c r="J53" s="3" t="inlineStr">
        <is>
          <t>Common</t>
        </is>
      </c>
      <c r="K53" s="5">
        <f>IF(NOT(OR(H53="Unique",I53="Unique",J53="Unique")),VLOOKUP(G53,'Role Families'!B:E,2,FALSE),IF(IF(VLOOKUP(G53,'Role Families'!B:E,2,FALSE)="Model",H53,IF(VLOOKUP(G53,'Role Families'!B:E,2,FALSE)="Industry",I53,J53))="Unique",VLOOKUP(G53,'Role Families'!B:E,2,FALSE),IF(IF(VLOOKUP(G53,'Role Families'!B:E,3,FALSE)="Model",H53,IF(VLOOKUP(G53,'Role Families'!B:E,3,FALSE)="Industry",I53,J53))="Unique",VLOOKUP(G53,'Role Families'!B:E,3,FALSE),VLOOKUP(G53,'Role Families'!B:E,4,FALSE))))</f>
        <v/>
      </c>
      <c r="L53" s="2">
        <f>IF(NOT(OR(H53="Unique",I53="Unique",J53="Unique")),VLOOKUP(G53,'Role Families'!B:E,3,FALSE),IF(IF(VLOOKUP(G53,'Role Families'!B:E,2,FALSE)="Model",H53,IF(VLOOKUP(G53,'Role Families'!B:E,2,FALSE)="Industry",I53,J53))="Unique",VLOOKUP(G53,'Role Families'!B:E,3,FALSE),VLOOKUP(G53,'Role Families'!B:E,2,FALSE)))</f>
        <v/>
      </c>
      <c r="M53" s="2">
        <f>IF(NOT(OR(H53="Unique",I53="Unique",J53="Unique")),VLOOKUP(G53,'Role Families'!B:E,4,FALSE),IF(IF(VLOOKUP(G53,'Role Families'!B:E,2,FALSE)="Model",H53,IF(VLOOKUP(G53,'Role Families'!B:E,2,FALSE)="Industry",I53,J53))="Unique",VLOOKUP(G53,'Role Families'!B:E,4,FALSE),IF(IF(VLOOKUP(G53,'Role Families'!B:E,3,FALSE)="Model",H53,IF(VLOOKUP(G53,'Role Families'!B:E,3,FALSE)="Industry",I53,J53))="Unique",VLOOKUP(G53,'Role Families'!B:E,4,FALSE),VLOOKUP(G53,'Role Families'!B:E,3,FALSE))))</f>
        <v/>
      </c>
    </row>
    <row r="54">
      <c r="A54" s="2" t="n">
        <v>53</v>
      </c>
      <c r="B54" s="2" t="inlineStr">
        <is>
          <t>Equinox</t>
        </is>
      </c>
      <c r="C54" s="2" t="inlineStr">
        <is>
          <t>Premium Fitness</t>
        </is>
      </c>
      <c r="D54" s="2" t="inlineStr">
        <is>
          <t>Membership</t>
        </is>
      </c>
      <c r="E54" s="2" t="inlineStr">
        <is>
          <t>Multi-unit Four-wall</t>
        </is>
      </c>
      <c r="F54" s="2" t="inlineStr">
        <is>
          <t>VP People</t>
        </is>
      </c>
      <c r="G54" s="2" t="inlineStr">
        <is>
          <t>People / HR</t>
        </is>
      </c>
      <c r="H54" s="3" t="inlineStr">
        <is>
          <t>Common</t>
        </is>
      </c>
      <c r="I54" s="3" t="inlineStr">
        <is>
          <t>Common</t>
        </is>
      </c>
      <c r="J54" s="3" t="inlineStr">
        <is>
          <t>Common</t>
        </is>
      </c>
      <c r="K54" s="5">
        <f>IF(NOT(OR(H54="Unique",I54="Unique",J54="Unique")),VLOOKUP(G54,'Role Families'!B:E,2,FALSE),IF(IF(VLOOKUP(G54,'Role Families'!B:E,2,FALSE)="Model",H54,IF(VLOOKUP(G54,'Role Families'!B:E,2,FALSE)="Industry",I54,J54))="Unique",VLOOKUP(G54,'Role Families'!B:E,2,FALSE),IF(IF(VLOOKUP(G54,'Role Families'!B:E,3,FALSE)="Model",H54,IF(VLOOKUP(G54,'Role Families'!B:E,3,FALSE)="Industry",I54,J54))="Unique",VLOOKUP(G54,'Role Families'!B:E,3,FALSE),VLOOKUP(G54,'Role Families'!B:E,4,FALSE))))</f>
        <v/>
      </c>
      <c r="L54" s="2">
        <f>IF(NOT(OR(H54="Unique",I54="Unique",J54="Unique")),VLOOKUP(G54,'Role Families'!B:E,3,FALSE),IF(IF(VLOOKUP(G54,'Role Families'!B:E,2,FALSE)="Model",H54,IF(VLOOKUP(G54,'Role Families'!B:E,2,FALSE)="Industry",I54,J54))="Unique",VLOOKUP(G54,'Role Families'!B:E,3,FALSE),VLOOKUP(G54,'Role Families'!B:E,2,FALSE)))</f>
        <v/>
      </c>
      <c r="M54" s="2">
        <f>IF(NOT(OR(H54="Unique",I54="Unique",J54="Unique")),VLOOKUP(G54,'Role Families'!B:E,4,FALSE),IF(IF(VLOOKUP(G54,'Role Families'!B:E,2,FALSE)="Model",H54,IF(VLOOKUP(G54,'Role Families'!B:E,2,FALSE)="Industry",I54,J54))="Unique",VLOOKUP(G54,'Role Families'!B:E,4,FALSE),IF(IF(VLOOKUP(G54,'Role Families'!B:E,3,FALSE)="Model",H54,IF(VLOOKUP(G54,'Role Families'!B:E,3,FALSE)="Industry",I54,J54))="Unique",VLOOKUP(G54,'Role Families'!B:E,4,FALSE),VLOOKUP(G54,'Role Families'!B:E,3,FALSE))))</f>
        <v/>
      </c>
    </row>
    <row r="55">
      <c r="A55" s="2" t="n">
        <v>54</v>
      </c>
      <c r="B55" s="2" t="inlineStr">
        <is>
          <t>Casper</t>
        </is>
      </c>
      <c r="C55" s="2" t="inlineStr">
        <is>
          <t>Sleep / Home Goods</t>
        </is>
      </c>
      <c r="D55" s="2" t="inlineStr">
        <is>
          <t>E-Commerce + Retail</t>
        </is>
      </c>
      <c r="E55" s="2" t="inlineStr">
        <is>
          <t>Omnichannel</t>
        </is>
      </c>
      <c r="F55" s="2" t="inlineStr">
        <is>
          <t>Head of Data</t>
        </is>
      </c>
      <c r="G55" s="2" t="inlineStr">
        <is>
          <t>Data / Analytics</t>
        </is>
      </c>
      <c r="H55" s="3" t="inlineStr">
        <is>
          <t>Common</t>
        </is>
      </c>
      <c r="I55" s="3" t="inlineStr">
        <is>
          <t>Common</t>
        </is>
      </c>
      <c r="J55" s="3" t="inlineStr">
        <is>
          <t>Common</t>
        </is>
      </c>
      <c r="K55" s="5">
        <f>IF(NOT(OR(H55="Unique",I55="Unique",J55="Unique")),VLOOKUP(G55,'Role Families'!B:E,2,FALSE),IF(IF(VLOOKUP(G55,'Role Families'!B:E,2,FALSE)="Model",H55,IF(VLOOKUP(G55,'Role Families'!B:E,2,FALSE)="Industry",I55,J55))="Unique",VLOOKUP(G55,'Role Families'!B:E,2,FALSE),IF(IF(VLOOKUP(G55,'Role Families'!B:E,3,FALSE)="Model",H55,IF(VLOOKUP(G55,'Role Families'!B:E,3,FALSE)="Industry",I55,J55))="Unique",VLOOKUP(G55,'Role Families'!B:E,3,FALSE),VLOOKUP(G55,'Role Families'!B:E,4,FALSE))))</f>
        <v/>
      </c>
      <c r="L55" s="2">
        <f>IF(NOT(OR(H55="Unique",I55="Unique",J55="Unique")),VLOOKUP(G55,'Role Families'!B:E,3,FALSE),IF(IF(VLOOKUP(G55,'Role Families'!B:E,2,FALSE)="Model",H55,IF(VLOOKUP(G55,'Role Families'!B:E,2,FALSE)="Industry",I55,J55))="Unique",VLOOKUP(G55,'Role Families'!B:E,3,FALSE),VLOOKUP(G55,'Role Families'!B:E,2,FALSE)))</f>
        <v/>
      </c>
      <c r="M55" s="2">
        <f>IF(NOT(OR(H55="Unique",I55="Unique",J55="Unique")),VLOOKUP(G55,'Role Families'!B:E,4,FALSE),IF(IF(VLOOKUP(G55,'Role Families'!B:E,2,FALSE)="Model",H55,IF(VLOOKUP(G55,'Role Families'!B:E,2,FALSE)="Industry",I55,J55))="Unique",VLOOKUP(G55,'Role Families'!B:E,4,FALSE),IF(IF(VLOOKUP(G55,'Role Families'!B:E,3,FALSE)="Model",H55,IF(VLOOKUP(G55,'Role Families'!B:E,3,FALSE)="Industry",I55,J55))="Unique",VLOOKUP(G55,'Role Families'!B:E,4,FALSE),VLOOKUP(G55,'Role Families'!B:E,3,FALSE))))</f>
        <v/>
      </c>
    </row>
    <row r="56">
      <c r="A56" s="2" t="n">
        <v>55</v>
      </c>
      <c r="B56" s="2" t="inlineStr">
        <is>
          <t>Away</t>
        </is>
      </c>
      <c r="C56" s="2" t="inlineStr">
        <is>
          <t>Travel / Luggage</t>
        </is>
      </c>
      <c r="D56" s="2" t="inlineStr">
        <is>
          <t>E-Commerce + Retail</t>
        </is>
      </c>
      <c r="E56" s="2" t="inlineStr">
        <is>
          <t>Omnichannel</t>
        </is>
      </c>
      <c r="F56" s="2" t="inlineStr">
        <is>
          <t>CMO</t>
        </is>
      </c>
      <c r="G56" s="2" t="inlineStr">
        <is>
          <t>Marketing / Brand</t>
        </is>
      </c>
      <c r="H56" s="3" t="inlineStr">
        <is>
          <t>Common</t>
        </is>
      </c>
      <c r="I56" s="3" t="inlineStr">
        <is>
          <t>Common</t>
        </is>
      </c>
      <c r="J56" s="3" t="inlineStr">
        <is>
          <t>Common</t>
        </is>
      </c>
      <c r="K56" s="5">
        <f>IF(NOT(OR(H56="Unique",I56="Unique",J56="Unique")),VLOOKUP(G56,'Role Families'!B:E,2,FALSE),IF(IF(VLOOKUP(G56,'Role Families'!B:E,2,FALSE)="Model",H56,IF(VLOOKUP(G56,'Role Families'!B:E,2,FALSE)="Industry",I56,J56))="Unique",VLOOKUP(G56,'Role Families'!B:E,2,FALSE),IF(IF(VLOOKUP(G56,'Role Families'!B:E,3,FALSE)="Model",H56,IF(VLOOKUP(G56,'Role Families'!B:E,3,FALSE)="Industry",I56,J56))="Unique",VLOOKUP(G56,'Role Families'!B:E,3,FALSE),VLOOKUP(G56,'Role Families'!B:E,4,FALSE))))</f>
        <v/>
      </c>
      <c r="L56" s="2">
        <f>IF(NOT(OR(H56="Unique",I56="Unique",J56="Unique")),VLOOKUP(G56,'Role Families'!B:E,3,FALSE),IF(IF(VLOOKUP(G56,'Role Families'!B:E,2,FALSE)="Model",H56,IF(VLOOKUP(G56,'Role Families'!B:E,2,FALSE)="Industry",I56,J56))="Unique",VLOOKUP(G56,'Role Families'!B:E,3,FALSE),VLOOKUP(G56,'Role Families'!B:E,2,FALSE)))</f>
        <v/>
      </c>
      <c r="M56" s="2">
        <f>IF(NOT(OR(H56="Unique",I56="Unique",J56="Unique")),VLOOKUP(G56,'Role Families'!B:E,4,FALSE),IF(IF(VLOOKUP(G56,'Role Families'!B:E,2,FALSE)="Model",H56,IF(VLOOKUP(G56,'Role Families'!B:E,2,FALSE)="Industry",I56,J56))="Unique",VLOOKUP(G56,'Role Families'!B:E,4,FALSE),IF(IF(VLOOKUP(G56,'Role Families'!B:E,3,FALSE)="Model",H56,IF(VLOOKUP(G56,'Role Families'!B:E,3,FALSE)="Industry",I56,J56))="Unique",VLOOKUP(G56,'Role Families'!B:E,4,FALSE),VLOOKUP(G56,'Role Families'!B:E,3,FALSE))))</f>
        <v/>
      </c>
    </row>
    <row r="57">
      <c r="A57" s="2" t="n">
        <v>56</v>
      </c>
      <c r="B57" s="2" t="inlineStr">
        <is>
          <t>Rothy's</t>
        </is>
      </c>
      <c r="C57" s="2" t="inlineStr">
        <is>
          <t>Sustainable Footwear</t>
        </is>
      </c>
      <c r="D57" s="2" t="inlineStr">
        <is>
          <t>E-Commerce + Retail</t>
        </is>
      </c>
      <c r="E57" s="2" t="inlineStr">
        <is>
          <t>Omnichannel</t>
        </is>
      </c>
      <c r="F57" s="2" t="inlineStr">
        <is>
          <t>VP Supply Chain</t>
        </is>
      </c>
      <c r="G57" s="2" t="inlineStr">
        <is>
          <t>Supply Chain / Logistics</t>
        </is>
      </c>
      <c r="H57" s="3" t="inlineStr">
        <is>
          <t>Common</t>
        </is>
      </c>
      <c r="I57" s="3" t="inlineStr">
        <is>
          <t>Common</t>
        </is>
      </c>
      <c r="J57" s="3" t="inlineStr">
        <is>
          <t>Common</t>
        </is>
      </c>
      <c r="K57" s="5">
        <f>IF(NOT(OR(H57="Unique",I57="Unique",J57="Unique")),VLOOKUP(G57,'Role Families'!B:E,2,FALSE),IF(IF(VLOOKUP(G57,'Role Families'!B:E,2,FALSE)="Model",H57,IF(VLOOKUP(G57,'Role Families'!B:E,2,FALSE)="Industry",I57,J57))="Unique",VLOOKUP(G57,'Role Families'!B:E,2,FALSE),IF(IF(VLOOKUP(G57,'Role Families'!B:E,3,FALSE)="Model",H57,IF(VLOOKUP(G57,'Role Families'!B:E,3,FALSE)="Industry",I57,J57))="Unique",VLOOKUP(G57,'Role Families'!B:E,3,FALSE),VLOOKUP(G57,'Role Families'!B:E,4,FALSE))))</f>
        <v/>
      </c>
      <c r="L57" s="2">
        <f>IF(NOT(OR(H57="Unique",I57="Unique",J57="Unique")),VLOOKUP(G57,'Role Families'!B:E,3,FALSE),IF(IF(VLOOKUP(G57,'Role Families'!B:E,2,FALSE)="Model",H57,IF(VLOOKUP(G57,'Role Families'!B:E,2,FALSE)="Industry",I57,J57))="Unique",VLOOKUP(G57,'Role Families'!B:E,3,FALSE),VLOOKUP(G57,'Role Families'!B:E,2,FALSE)))</f>
        <v/>
      </c>
      <c r="M57" s="2">
        <f>IF(NOT(OR(H57="Unique",I57="Unique",J57="Unique")),VLOOKUP(G57,'Role Families'!B:E,4,FALSE),IF(IF(VLOOKUP(G57,'Role Families'!B:E,2,FALSE)="Model",H57,IF(VLOOKUP(G57,'Role Families'!B:E,2,FALSE)="Industry",I57,J57))="Unique",VLOOKUP(G57,'Role Families'!B:E,4,FALSE),IF(IF(VLOOKUP(G57,'Role Families'!B:E,3,FALSE)="Model",H57,IF(VLOOKUP(G57,'Role Families'!B:E,3,FALSE)="Industry",I57,J57))="Unique",VLOOKUP(G57,'Role Families'!B:E,4,FALSE),VLOOKUP(G57,'Role Families'!B:E,3,FALSE))))</f>
        <v/>
      </c>
    </row>
    <row r="58">
      <c r="A58" s="2" t="n">
        <v>57</v>
      </c>
      <c r="B58" s="2" t="inlineStr">
        <is>
          <t>McDonald's</t>
        </is>
      </c>
      <c r="C58" s="2" t="inlineStr">
        <is>
          <t>QSR / F&amp;B</t>
        </is>
      </c>
      <c r="D58" s="2" t="inlineStr">
        <is>
          <t>Franchise (Real Estate)</t>
        </is>
      </c>
      <c r="E58" s="2" t="inlineStr">
        <is>
          <t>Multi-unit Four-wall</t>
        </is>
      </c>
      <c r="F58" s="2" t="inlineStr">
        <is>
          <t>CFO</t>
        </is>
      </c>
      <c r="G58" s="2" t="inlineStr">
        <is>
          <t>Finance / Accounting</t>
        </is>
      </c>
      <c r="H58" s="3" t="inlineStr">
        <is>
          <t>Common</t>
        </is>
      </c>
      <c r="I58" s="3" t="inlineStr">
        <is>
          <t>Common</t>
        </is>
      </c>
      <c r="J58" s="3" t="inlineStr">
        <is>
          <t>Common</t>
        </is>
      </c>
      <c r="K58" s="5">
        <f>IF(NOT(OR(H58="Unique",I58="Unique",J58="Unique")),VLOOKUP(G58,'Role Families'!B:E,2,FALSE),IF(IF(VLOOKUP(G58,'Role Families'!B:E,2,FALSE)="Model",H58,IF(VLOOKUP(G58,'Role Families'!B:E,2,FALSE)="Industry",I58,J58))="Unique",VLOOKUP(G58,'Role Families'!B:E,2,FALSE),IF(IF(VLOOKUP(G58,'Role Families'!B:E,3,FALSE)="Model",H58,IF(VLOOKUP(G58,'Role Families'!B:E,3,FALSE)="Industry",I58,J58))="Unique",VLOOKUP(G58,'Role Families'!B:E,3,FALSE),VLOOKUP(G58,'Role Families'!B:E,4,FALSE))))</f>
        <v/>
      </c>
      <c r="L58" s="2">
        <f>IF(NOT(OR(H58="Unique",I58="Unique",J58="Unique")),VLOOKUP(G58,'Role Families'!B:E,3,FALSE),IF(IF(VLOOKUP(G58,'Role Families'!B:E,2,FALSE)="Model",H58,IF(VLOOKUP(G58,'Role Families'!B:E,2,FALSE)="Industry",I58,J58))="Unique",VLOOKUP(G58,'Role Families'!B:E,3,FALSE),VLOOKUP(G58,'Role Families'!B:E,2,FALSE)))</f>
        <v/>
      </c>
      <c r="M58" s="2">
        <f>IF(NOT(OR(H58="Unique",I58="Unique",J58="Unique")),VLOOKUP(G58,'Role Families'!B:E,4,FALSE),IF(IF(VLOOKUP(G58,'Role Families'!B:E,2,FALSE)="Model",H58,IF(VLOOKUP(G58,'Role Families'!B:E,2,FALSE)="Industry",I58,J58))="Unique",VLOOKUP(G58,'Role Families'!B:E,4,FALSE),IF(IF(VLOOKUP(G58,'Role Families'!B:E,3,FALSE)="Model",H58,IF(VLOOKUP(G58,'Role Families'!B:E,3,FALSE)="Industry",I58,J58))="Unique",VLOOKUP(G58,'Role Families'!B:E,4,FALSE),VLOOKUP(G58,'Role Families'!B:E,3,FALSE))))</f>
        <v/>
      </c>
    </row>
    <row r="59">
      <c r="A59" s="2" t="n">
        <v>58</v>
      </c>
      <c r="B59" s="2" t="inlineStr">
        <is>
          <t>McDonald's</t>
        </is>
      </c>
      <c r="C59" s="2" t="inlineStr">
        <is>
          <t>QSR / F&amp;B</t>
        </is>
      </c>
      <c r="D59" s="2" t="inlineStr">
        <is>
          <t>Franchise (Real Estate)</t>
        </is>
      </c>
      <c r="E59" s="2" t="inlineStr">
        <is>
          <t>Multi-unit Four-wall</t>
        </is>
      </c>
      <c r="F59" s="2" t="inlineStr">
        <is>
          <t>General Counsel</t>
        </is>
      </c>
      <c r="G59" s="2" t="inlineStr">
        <is>
          <t>Legal / Compliance</t>
        </is>
      </c>
      <c r="H59" s="3" t="inlineStr">
        <is>
          <t>Common</t>
        </is>
      </c>
      <c r="I59" s="3" t="inlineStr">
        <is>
          <t>Common</t>
        </is>
      </c>
      <c r="J59" s="3" t="inlineStr">
        <is>
          <t>Common</t>
        </is>
      </c>
      <c r="K59" s="5">
        <f>IF(NOT(OR(H59="Unique",I59="Unique",J59="Unique")),VLOOKUP(G59,'Role Families'!B:E,2,FALSE),IF(IF(VLOOKUP(G59,'Role Families'!B:E,2,FALSE)="Model",H59,IF(VLOOKUP(G59,'Role Families'!B:E,2,FALSE)="Industry",I59,J59))="Unique",VLOOKUP(G59,'Role Families'!B:E,2,FALSE),IF(IF(VLOOKUP(G59,'Role Families'!B:E,3,FALSE)="Model",H59,IF(VLOOKUP(G59,'Role Families'!B:E,3,FALSE)="Industry",I59,J59))="Unique",VLOOKUP(G59,'Role Families'!B:E,3,FALSE),VLOOKUP(G59,'Role Families'!B:E,4,FALSE))))</f>
        <v/>
      </c>
      <c r="L59" s="2">
        <f>IF(NOT(OR(H59="Unique",I59="Unique",J59="Unique")),VLOOKUP(G59,'Role Families'!B:E,3,FALSE),IF(IF(VLOOKUP(G59,'Role Families'!B:E,2,FALSE)="Model",H59,IF(VLOOKUP(G59,'Role Families'!B:E,2,FALSE)="Industry",I59,J59))="Unique",VLOOKUP(G59,'Role Families'!B:E,3,FALSE),VLOOKUP(G59,'Role Families'!B:E,2,FALSE)))</f>
        <v/>
      </c>
      <c r="M59" s="2">
        <f>IF(NOT(OR(H59="Unique",I59="Unique",J59="Unique")),VLOOKUP(G59,'Role Families'!B:E,4,FALSE),IF(IF(VLOOKUP(G59,'Role Families'!B:E,2,FALSE)="Model",H59,IF(VLOOKUP(G59,'Role Families'!B:E,2,FALSE)="Industry",I59,J59))="Unique",VLOOKUP(G59,'Role Families'!B:E,4,FALSE),IF(IF(VLOOKUP(G59,'Role Families'!B:E,3,FALSE)="Model",H59,IF(VLOOKUP(G59,'Role Families'!B:E,3,FALSE)="Industry",I59,J59))="Unique",VLOOKUP(G59,'Role Families'!B:E,4,FALSE),VLOOKUP(G59,'Role Families'!B:E,3,FALSE))))</f>
        <v/>
      </c>
    </row>
    <row r="60">
      <c r="A60" s="2" t="n">
        <v>59</v>
      </c>
      <c r="B60" s="2" t="inlineStr">
        <is>
          <t>Chick-fil-A</t>
        </is>
      </c>
      <c r="C60" s="2" t="inlineStr">
        <is>
          <t>QSR / F&amp;B</t>
        </is>
      </c>
      <c r="D60" s="2" t="inlineStr">
        <is>
          <t>Franchise (Operator)</t>
        </is>
      </c>
      <c r="E60" s="2" t="inlineStr">
        <is>
          <t>Multi-unit Four-wall</t>
        </is>
      </c>
      <c r="F60" s="2" t="inlineStr">
        <is>
          <t>CMO</t>
        </is>
      </c>
      <c r="G60" s="2" t="inlineStr">
        <is>
          <t>Marketing / Brand</t>
        </is>
      </c>
      <c r="H60" s="3" t="inlineStr">
        <is>
          <t>Common</t>
        </is>
      </c>
      <c r="I60" s="3" t="inlineStr">
        <is>
          <t>Common</t>
        </is>
      </c>
      <c r="J60" s="3" t="inlineStr">
        <is>
          <t>Common</t>
        </is>
      </c>
      <c r="K60" s="5">
        <f>IF(NOT(OR(H60="Unique",I60="Unique",J60="Unique")),VLOOKUP(G60,'Role Families'!B:E,2,FALSE),IF(IF(VLOOKUP(G60,'Role Families'!B:E,2,FALSE)="Model",H60,IF(VLOOKUP(G60,'Role Families'!B:E,2,FALSE)="Industry",I60,J60))="Unique",VLOOKUP(G60,'Role Families'!B:E,2,FALSE),IF(IF(VLOOKUP(G60,'Role Families'!B:E,3,FALSE)="Model",H60,IF(VLOOKUP(G60,'Role Families'!B:E,3,FALSE)="Industry",I60,J60))="Unique",VLOOKUP(G60,'Role Families'!B:E,3,FALSE),VLOOKUP(G60,'Role Families'!B:E,4,FALSE))))</f>
        <v/>
      </c>
      <c r="L60" s="2">
        <f>IF(NOT(OR(H60="Unique",I60="Unique",J60="Unique")),VLOOKUP(G60,'Role Families'!B:E,3,FALSE),IF(IF(VLOOKUP(G60,'Role Families'!B:E,2,FALSE)="Model",H60,IF(VLOOKUP(G60,'Role Families'!B:E,2,FALSE)="Industry",I60,J60))="Unique",VLOOKUP(G60,'Role Families'!B:E,3,FALSE),VLOOKUP(G60,'Role Families'!B:E,2,FALSE)))</f>
        <v/>
      </c>
      <c r="M60" s="2">
        <f>IF(NOT(OR(H60="Unique",I60="Unique",J60="Unique")),VLOOKUP(G60,'Role Families'!B:E,4,FALSE),IF(IF(VLOOKUP(G60,'Role Families'!B:E,2,FALSE)="Model",H60,IF(VLOOKUP(G60,'Role Families'!B:E,2,FALSE)="Industry",I60,J60))="Unique",VLOOKUP(G60,'Role Families'!B:E,4,FALSE),IF(IF(VLOOKUP(G60,'Role Families'!B:E,3,FALSE)="Model",H60,IF(VLOOKUP(G60,'Role Families'!B:E,3,FALSE)="Industry",I60,J60))="Unique",VLOOKUP(G60,'Role Families'!B:E,4,FALSE),VLOOKUP(G60,'Role Families'!B:E,3,FALSE))))</f>
        <v/>
      </c>
    </row>
    <row r="61">
      <c r="A61" s="2" t="n">
        <v>60</v>
      </c>
      <c r="B61" s="2" t="inlineStr">
        <is>
          <t>Chick-fil-A</t>
        </is>
      </c>
      <c r="C61" s="2" t="inlineStr">
        <is>
          <t>QSR / F&amp;B</t>
        </is>
      </c>
      <c r="D61" s="2" t="inlineStr">
        <is>
          <t>Franchise (Operator)</t>
        </is>
      </c>
      <c r="E61" s="2" t="inlineStr">
        <is>
          <t>Multi-unit Four-wall</t>
        </is>
      </c>
      <c r="F61" s="2" t="inlineStr">
        <is>
          <t>CHRO</t>
        </is>
      </c>
      <c r="G61" s="2" t="inlineStr">
        <is>
          <t>People / HR</t>
        </is>
      </c>
      <c r="H61" s="3" t="inlineStr">
        <is>
          <t>Common</t>
        </is>
      </c>
      <c r="I61" s="3" t="inlineStr">
        <is>
          <t>Common</t>
        </is>
      </c>
      <c r="J61" s="3" t="inlineStr">
        <is>
          <t>Common</t>
        </is>
      </c>
      <c r="K61" s="5">
        <f>IF(NOT(OR(H61="Unique",I61="Unique",J61="Unique")),VLOOKUP(G61,'Role Families'!B:E,2,FALSE),IF(IF(VLOOKUP(G61,'Role Families'!B:E,2,FALSE)="Model",H61,IF(VLOOKUP(G61,'Role Families'!B:E,2,FALSE)="Industry",I61,J61))="Unique",VLOOKUP(G61,'Role Families'!B:E,2,FALSE),IF(IF(VLOOKUP(G61,'Role Families'!B:E,3,FALSE)="Model",H61,IF(VLOOKUP(G61,'Role Families'!B:E,3,FALSE)="Industry",I61,J61))="Unique",VLOOKUP(G61,'Role Families'!B:E,3,FALSE),VLOOKUP(G61,'Role Families'!B:E,4,FALSE))))</f>
        <v/>
      </c>
      <c r="L61" s="2">
        <f>IF(NOT(OR(H61="Unique",I61="Unique",J61="Unique")),VLOOKUP(G61,'Role Families'!B:E,3,FALSE),IF(IF(VLOOKUP(G61,'Role Families'!B:E,2,FALSE)="Model",H61,IF(VLOOKUP(G61,'Role Families'!B:E,2,FALSE)="Industry",I61,J61))="Unique",VLOOKUP(G61,'Role Families'!B:E,3,FALSE),VLOOKUP(G61,'Role Families'!B:E,2,FALSE)))</f>
        <v/>
      </c>
      <c r="M61" s="2">
        <f>IF(NOT(OR(H61="Unique",I61="Unique",J61="Unique")),VLOOKUP(G61,'Role Families'!B:E,4,FALSE),IF(IF(VLOOKUP(G61,'Role Families'!B:E,2,FALSE)="Model",H61,IF(VLOOKUP(G61,'Role Families'!B:E,2,FALSE)="Industry",I61,J61))="Unique",VLOOKUP(G61,'Role Families'!B:E,4,FALSE),IF(IF(VLOOKUP(G61,'Role Families'!B:E,3,FALSE)="Model",H61,IF(VLOOKUP(G61,'Role Families'!B:E,3,FALSE)="Industry",I61,J61))="Unique",VLOOKUP(G61,'Role Families'!B:E,4,FALSE),VLOOKUP(G61,'Role Families'!B:E,3,FALSE))))</f>
        <v/>
      </c>
    </row>
    <row r="62">
      <c r="A62" s="2" t="n">
        <v>61</v>
      </c>
      <c r="B62" s="2" t="inlineStr">
        <is>
          <t>Wingstop</t>
        </is>
      </c>
      <c r="C62" s="2" t="inlineStr">
        <is>
          <t>QSR / F&amp;B</t>
        </is>
      </c>
      <c r="D62" s="2" t="inlineStr">
        <is>
          <t>Franchise</t>
        </is>
      </c>
      <c r="E62" s="2" t="inlineStr">
        <is>
          <t>Multi-unit Four-wall</t>
        </is>
      </c>
      <c r="F62" s="2" t="inlineStr">
        <is>
          <t>CTO</t>
        </is>
      </c>
      <c r="G62" s="2" t="inlineStr">
        <is>
          <t>Technology / Engineering</t>
        </is>
      </c>
      <c r="H62" s="3" t="inlineStr">
        <is>
          <t>Common</t>
        </is>
      </c>
      <c r="I62" s="3" t="inlineStr">
        <is>
          <t>Common</t>
        </is>
      </c>
      <c r="J62" s="3" t="inlineStr">
        <is>
          <t>Common</t>
        </is>
      </c>
      <c r="K62" s="5">
        <f>IF(NOT(OR(H62="Unique",I62="Unique",J62="Unique")),VLOOKUP(G62,'Role Families'!B:E,2,FALSE),IF(IF(VLOOKUP(G62,'Role Families'!B:E,2,FALSE)="Model",H62,IF(VLOOKUP(G62,'Role Families'!B:E,2,FALSE)="Industry",I62,J62))="Unique",VLOOKUP(G62,'Role Families'!B:E,2,FALSE),IF(IF(VLOOKUP(G62,'Role Families'!B:E,3,FALSE)="Model",H62,IF(VLOOKUP(G62,'Role Families'!B:E,3,FALSE)="Industry",I62,J62))="Unique",VLOOKUP(G62,'Role Families'!B:E,3,FALSE),VLOOKUP(G62,'Role Families'!B:E,4,FALSE))))</f>
        <v/>
      </c>
      <c r="L62" s="2">
        <f>IF(NOT(OR(H62="Unique",I62="Unique",J62="Unique")),VLOOKUP(G62,'Role Families'!B:E,3,FALSE),IF(IF(VLOOKUP(G62,'Role Families'!B:E,2,FALSE)="Model",H62,IF(VLOOKUP(G62,'Role Families'!B:E,2,FALSE)="Industry",I62,J62))="Unique",VLOOKUP(G62,'Role Families'!B:E,3,FALSE),VLOOKUP(G62,'Role Families'!B:E,2,FALSE)))</f>
        <v/>
      </c>
      <c r="M62" s="2">
        <f>IF(NOT(OR(H62="Unique",I62="Unique",J62="Unique")),VLOOKUP(G62,'Role Families'!B:E,4,FALSE),IF(IF(VLOOKUP(G62,'Role Families'!B:E,2,FALSE)="Model",H62,IF(VLOOKUP(G62,'Role Families'!B:E,2,FALSE)="Industry",I62,J62))="Unique",VLOOKUP(G62,'Role Families'!B:E,4,FALSE),IF(IF(VLOOKUP(G62,'Role Families'!B:E,3,FALSE)="Model",H62,IF(VLOOKUP(G62,'Role Families'!B:E,3,FALSE)="Industry",I62,J62))="Unique",VLOOKUP(G62,'Role Families'!B:E,4,FALSE),VLOOKUP(G62,'Role Families'!B:E,3,FALSE))))</f>
        <v/>
      </c>
    </row>
    <row r="63">
      <c r="A63" s="2" t="n">
        <v>62</v>
      </c>
      <c r="B63" s="2" t="inlineStr">
        <is>
          <t>Turner Construction</t>
        </is>
      </c>
      <c r="C63" s="2" t="inlineStr">
        <is>
          <t>Construction</t>
        </is>
      </c>
      <c r="D63" s="2" t="inlineStr">
        <is>
          <t>POC (% Completion)</t>
        </is>
      </c>
      <c r="E63" s="2" t="inlineStr">
        <is>
          <t>B2B Project-based</t>
        </is>
      </c>
      <c r="F63" s="2" t="inlineStr">
        <is>
          <t>CFO</t>
        </is>
      </c>
      <c r="G63" s="2" t="inlineStr">
        <is>
          <t>Finance / Accounting</t>
        </is>
      </c>
      <c r="H63" s="4" t="inlineStr">
        <is>
          <t>Unique</t>
        </is>
      </c>
      <c r="I63" s="3" t="inlineStr">
        <is>
          <t>Common</t>
        </is>
      </c>
      <c r="J63" s="4" t="inlineStr">
        <is>
          <t>Unique</t>
        </is>
      </c>
      <c r="K63" s="5">
        <f>IF(NOT(OR(H63="Unique",I63="Unique",J63="Unique")),VLOOKUP(G63,'Role Families'!B:E,2,FALSE),IF(IF(VLOOKUP(G63,'Role Families'!B:E,2,FALSE)="Model",H63,IF(VLOOKUP(G63,'Role Families'!B:E,2,FALSE)="Industry",I63,J63))="Unique",VLOOKUP(G63,'Role Families'!B:E,2,FALSE),IF(IF(VLOOKUP(G63,'Role Families'!B:E,3,FALSE)="Model",H63,IF(VLOOKUP(G63,'Role Families'!B:E,3,FALSE)="Industry",I63,J63))="Unique",VLOOKUP(G63,'Role Families'!B:E,3,FALSE),VLOOKUP(G63,'Role Families'!B:E,4,FALSE))))</f>
        <v/>
      </c>
      <c r="L63" s="2">
        <f>IF(NOT(OR(H63="Unique",I63="Unique",J63="Unique")),VLOOKUP(G63,'Role Families'!B:E,3,FALSE),IF(IF(VLOOKUP(G63,'Role Families'!B:E,2,FALSE)="Model",H63,IF(VLOOKUP(G63,'Role Families'!B:E,2,FALSE)="Industry",I63,J63))="Unique",VLOOKUP(G63,'Role Families'!B:E,3,FALSE),VLOOKUP(G63,'Role Families'!B:E,2,FALSE)))</f>
        <v/>
      </c>
      <c r="M63" s="2">
        <f>IF(NOT(OR(H63="Unique",I63="Unique",J63="Unique")),VLOOKUP(G63,'Role Families'!B:E,4,FALSE),IF(IF(VLOOKUP(G63,'Role Families'!B:E,2,FALSE)="Model",H63,IF(VLOOKUP(G63,'Role Families'!B:E,2,FALSE)="Industry",I63,J63))="Unique",VLOOKUP(G63,'Role Families'!B:E,4,FALSE),IF(IF(VLOOKUP(G63,'Role Families'!B:E,3,FALSE)="Model",H63,IF(VLOOKUP(G63,'Role Families'!B:E,3,FALSE)="Industry",I63,J63))="Unique",VLOOKUP(G63,'Role Families'!B:E,4,FALSE),VLOOKUP(G63,'Role Families'!B:E,3,FALSE))))</f>
        <v/>
      </c>
    </row>
    <row r="64">
      <c r="A64" s="2" t="n">
        <v>63</v>
      </c>
      <c r="B64" s="2" t="inlineStr">
        <is>
          <t>Turner Construction</t>
        </is>
      </c>
      <c r="C64" s="2" t="inlineStr">
        <is>
          <t>Construction</t>
        </is>
      </c>
      <c r="D64" s="2" t="inlineStr">
        <is>
          <t>POC (% Completion)</t>
        </is>
      </c>
      <c r="E64" s="2" t="inlineStr">
        <is>
          <t>B2B Project-based</t>
        </is>
      </c>
      <c r="F64" s="2" t="inlineStr">
        <is>
          <t>CMO</t>
        </is>
      </c>
      <c r="G64" s="2" t="inlineStr">
        <is>
          <t>Marketing / Brand</t>
        </is>
      </c>
      <c r="H64" s="4" t="inlineStr">
        <is>
          <t>Unique</t>
        </is>
      </c>
      <c r="I64" s="3" t="inlineStr">
        <is>
          <t>Common</t>
        </is>
      </c>
      <c r="J64" s="4" t="inlineStr">
        <is>
          <t>Unique</t>
        </is>
      </c>
      <c r="K64" s="5">
        <f>IF(NOT(OR(H64="Unique",I64="Unique",J64="Unique")),VLOOKUP(G64,'Role Families'!B:E,2,FALSE),IF(IF(VLOOKUP(G64,'Role Families'!B:E,2,FALSE)="Model",H64,IF(VLOOKUP(G64,'Role Families'!B:E,2,FALSE)="Industry",I64,J64))="Unique",VLOOKUP(G64,'Role Families'!B:E,2,FALSE),IF(IF(VLOOKUP(G64,'Role Families'!B:E,3,FALSE)="Model",H64,IF(VLOOKUP(G64,'Role Families'!B:E,3,FALSE)="Industry",I64,J64))="Unique",VLOOKUP(G64,'Role Families'!B:E,3,FALSE),VLOOKUP(G64,'Role Families'!B:E,4,FALSE))))</f>
        <v/>
      </c>
      <c r="L64" s="2">
        <f>IF(NOT(OR(H64="Unique",I64="Unique",J64="Unique")),VLOOKUP(G64,'Role Families'!B:E,3,FALSE),IF(IF(VLOOKUP(G64,'Role Families'!B:E,2,FALSE)="Model",H64,IF(VLOOKUP(G64,'Role Families'!B:E,2,FALSE)="Industry",I64,J64))="Unique",VLOOKUP(G64,'Role Families'!B:E,3,FALSE),VLOOKUP(G64,'Role Families'!B:E,2,FALSE)))</f>
        <v/>
      </c>
      <c r="M64" s="2">
        <f>IF(NOT(OR(H64="Unique",I64="Unique",J64="Unique")),VLOOKUP(G64,'Role Families'!B:E,4,FALSE),IF(IF(VLOOKUP(G64,'Role Families'!B:E,2,FALSE)="Model",H64,IF(VLOOKUP(G64,'Role Families'!B:E,2,FALSE)="Industry",I64,J64))="Unique",VLOOKUP(G64,'Role Families'!B:E,4,FALSE),IF(IF(VLOOKUP(G64,'Role Families'!B:E,3,FALSE)="Model",H64,IF(VLOOKUP(G64,'Role Families'!B:E,3,FALSE)="Industry",I64,J64))="Unique",VLOOKUP(G64,'Role Families'!B:E,4,FALSE),VLOOKUP(G64,'Role Families'!B:E,3,FALSE))))</f>
        <v/>
      </c>
    </row>
    <row r="65">
      <c r="A65" s="2" t="n">
        <v>64</v>
      </c>
      <c r="B65" s="2" t="inlineStr">
        <is>
          <t>Turner Construction</t>
        </is>
      </c>
      <c r="C65" s="2" t="inlineStr">
        <is>
          <t>Construction</t>
        </is>
      </c>
      <c r="D65" s="2" t="inlineStr">
        <is>
          <t>POC (% Completion)</t>
        </is>
      </c>
      <c r="E65" s="2" t="inlineStr">
        <is>
          <t>B2B Project-based</t>
        </is>
      </c>
      <c r="F65" s="2" t="inlineStr">
        <is>
          <t>VP Sales</t>
        </is>
      </c>
      <c r="G65" s="2" t="inlineStr">
        <is>
          <t>Sales / Revenue</t>
        </is>
      </c>
      <c r="H65" s="4" t="inlineStr">
        <is>
          <t>Unique</t>
        </is>
      </c>
      <c r="I65" s="3" t="inlineStr">
        <is>
          <t>Common</t>
        </is>
      </c>
      <c r="J65" s="4" t="inlineStr">
        <is>
          <t>Unique</t>
        </is>
      </c>
      <c r="K65" s="5">
        <f>IF(NOT(OR(H65="Unique",I65="Unique",J65="Unique")),VLOOKUP(G65,'Role Families'!B:E,2,FALSE),IF(IF(VLOOKUP(G65,'Role Families'!B:E,2,FALSE)="Model",H65,IF(VLOOKUP(G65,'Role Families'!B:E,2,FALSE)="Industry",I65,J65))="Unique",VLOOKUP(G65,'Role Families'!B:E,2,FALSE),IF(IF(VLOOKUP(G65,'Role Families'!B:E,3,FALSE)="Model",H65,IF(VLOOKUP(G65,'Role Families'!B:E,3,FALSE)="Industry",I65,J65))="Unique",VLOOKUP(G65,'Role Families'!B:E,3,FALSE),VLOOKUP(G65,'Role Families'!B:E,4,FALSE))))</f>
        <v/>
      </c>
      <c r="L65" s="2">
        <f>IF(NOT(OR(H65="Unique",I65="Unique",J65="Unique")),VLOOKUP(G65,'Role Families'!B:E,3,FALSE),IF(IF(VLOOKUP(G65,'Role Families'!B:E,2,FALSE)="Model",H65,IF(VLOOKUP(G65,'Role Families'!B:E,2,FALSE)="Industry",I65,J65))="Unique",VLOOKUP(G65,'Role Families'!B:E,3,FALSE),VLOOKUP(G65,'Role Families'!B:E,2,FALSE)))</f>
        <v/>
      </c>
      <c r="M65" s="2">
        <f>IF(NOT(OR(H65="Unique",I65="Unique",J65="Unique")),VLOOKUP(G65,'Role Families'!B:E,4,FALSE),IF(IF(VLOOKUP(G65,'Role Families'!B:E,2,FALSE)="Model",H65,IF(VLOOKUP(G65,'Role Families'!B:E,2,FALSE)="Industry",I65,J65))="Unique",VLOOKUP(G65,'Role Families'!B:E,4,FALSE),IF(IF(VLOOKUP(G65,'Role Families'!B:E,3,FALSE)="Model",H65,IF(VLOOKUP(G65,'Role Families'!B:E,3,FALSE)="Industry",I65,J65))="Unique",VLOOKUP(G65,'Role Families'!B:E,4,FALSE),VLOOKUP(G65,'Role Families'!B:E,3,FALSE))))</f>
        <v/>
      </c>
    </row>
    <row r="66">
      <c r="A66" s="2" t="n">
        <v>65</v>
      </c>
      <c r="B66" s="2" t="inlineStr">
        <is>
          <t>AECOM</t>
        </is>
      </c>
      <c r="C66" s="2" t="inlineStr">
        <is>
          <t>Infrastructure / Engineering</t>
        </is>
      </c>
      <c r="D66" s="2" t="inlineStr">
        <is>
          <t>POC (% Completion)</t>
        </is>
      </c>
      <c r="E66" s="2" t="inlineStr">
        <is>
          <t>B2B Project-based</t>
        </is>
      </c>
      <c r="F66" s="2" t="inlineStr">
        <is>
          <t>CFO</t>
        </is>
      </c>
      <c r="G66" s="2" t="inlineStr">
        <is>
          <t>Finance / Accounting</t>
        </is>
      </c>
      <c r="H66" s="4" t="inlineStr">
        <is>
          <t>Unique</t>
        </is>
      </c>
      <c r="I66" s="3" t="inlineStr">
        <is>
          <t>Common</t>
        </is>
      </c>
      <c r="J66" s="4" t="inlineStr">
        <is>
          <t>Unique</t>
        </is>
      </c>
      <c r="K66" s="5">
        <f>IF(NOT(OR(H66="Unique",I66="Unique",J66="Unique")),VLOOKUP(G66,'Role Families'!B:E,2,FALSE),IF(IF(VLOOKUP(G66,'Role Families'!B:E,2,FALSE)="Model",H66,IF(VLOOKUP(G66,'Role Families'!B:E,2,FALSE)="Industry",I66,J66))="Unique",VLOOKUP(G66,'Role Families'!B:E,2,FALSE),IF(IF(VLOOKUP(G66,'Role Families'!B:E,3,FALSE)="Model",H66,IF(VLOOKUP(G66,'Role Families'!B:E,3,FALSE)="Industry",I66,J66))="Unique",VLOOKUP(G66,'Role Families'!B:E,3,FALSE),VLOOKUP(G66,'Role Families'!B:E,4,FALSE))))</f>
        <v/>
      </c>
      <c r="L66" s="2">
        <f>IF(NOT(OR(H66="Unique",I66="Unique",J66="Unique")),VLOOKUP(G66,'Role Families'!B:E,3,FALSE),IF(IF(VLOOKUP(G66,'Role Families'!B:E,2,FALSE)="Model",H66,IF(VLOOKUP(G66,'Role Families'!B:E,2,FALSE)="Industry",I66,J66))="Unique",VLOOKUP(G66,'Role Families'!B:E,3,FALSE),VLOOKUP(G66,'Role Families'!B:E,2,FALSE)))</f>
        <v/>
      </c>
      <c r="M66" s="2">
        <f>IF(NOT(OR(H66="Unique",I66="Unique",J66="Unique")),VLOOKUP(G66,'Role Families'!B:E,4,FALSE),IF(IF(VLOOKUP(G66,'Role Families'!B:E,2,FALSE)="Model",H66,IF(VLOOKUP(G66,'Role Families'!B:E,2,FALSE)="Industry",I66,J66))="Unique",VLOOKUP(G66,'Role Families'!B:E,4,FALSE),IF(IF(VLOOKUP(G66,'Role Families'!B:E,3,FALSE)="Model",H66,IF(VLOOKUP(G66,'Role Families'!B:E,3,FALSE)="Industry",I66,J66))="Unique",VLOOKUP(G66,'Role Families'!B:E,4,FALSE),VLOOKUP(G66,'Role Families'!B:E,3,FALSE))))</f>
        <v/>
      </c>
    </row>
    <row r="67">
      <c r="A67" s="2" t="n">
        <v>66</v>
      </c>
      <c r="B67" s="2" t="inlineStr">
        <is>
          <t>Skanska</t>
        </is>
      </c>
      <c r="C67" s="2" t="inlineStr">
        <is>
          <t>Construction</t>
        </is>
      </c>
      <c r="D67" s="2" t="inlineStr">
        <is>
          <t>POC (% Completion)</t>
        </is>
      </c>
      <c r="E67" s="2" t="inlineStr">
        <is>
          <t>B2B Project-based</t>
        </is>
      </c>
      <c r="F67" s="2" t="inlineStr">
        <is>
          <t>Head of Compliance</t>
        </is>
      </c>
      <c r="G67" s="2" t="inlineStr">
        <is>
          <t>Legal / Compliance</t>
        </is>
      </c>
      <c r="H67" s="4" t="inlineStr">
        <is>
          <t>Unique</t>
        </is>
      </c>
      <c r="I67" s="3" t="inlineStr">
        <is>
          <t>Common</t>
        </is>
      </c>
      <c r="J67" s="4" t="inlineStr">
        <is>
          <t>Unique</t>
        </is>
      </c>
      <c r="K67" s="5">
        <f>IF(NOT(OR(H67="Unique",I67="Unique",J67="Unique")),VLOOKUP(G67,'Role Families'!B:E,2,FALSE),IF(IF(VLOOKUP(G67,'Role Families'!B:E,2,FALSE)="Model",H67,IF(VLOOKUP(G67,'Role Families'!B:E,2,FALSE)="Industry",I67,J67))="Unique",VLOOKUP(G67,'Role Families'!B:E,2,FALSE),IF(IF(VLOOKUP(G67,'Role Families'!B:E,3,FALSE)="Model",H67,IF(VLOOKUP(G67,'Role Families'!B:E,3,FALSE)="Industry",I67,J67))="Unique",VLOOKUP(G67,'Role Families'!B:E,3,FALSE),VLOOKUP(G67,'Role Families'!B:E,4,FALSE))))</f>
        <v/>
      </c>
      <c r="L67" s="2">
        <f>IF(NOT(OR(H67="Unique",I67="Unique",J67="Unique")),VLOOKUP(G67,'Role Families'!B:E,3,FALSE),IF(IF(VLOOKUP(G67,'Role Families'!B:E,2,FALSE)="Model",H67,IF(VLOOKUP(G67,'Role Families'!B:E,2,FALSE)="Industry",I67,J67))="Unique",VLOOKUP(G67,'Role Families'!B:E,3,FALSE),VLOOKUP(G67,'Role Families'!B:E,2,FALSE)))</f>
        <v/>
      </c>
      <c r="M67" s="2">
        <f>IF(NOT(OR(H67="Unique",I67="Unique",J67="Unique")),VLOOKUP(G67,'Role Families'!B:E,4,FALSE),IF(IF(VLOOKUP(G67,'Role Families'!B:E,2,FALSE)="Model",H67,IF(VLOOKUP(G67,'Role Families'!B:E,2,FALSE)="Industry",I67,J67))="Unique",VLOOKUP(G67,'Role Families'!B:E,4,FALSE),IF(IF(VLOOKUP(G67,'Role Families'!B:E,3,FALSE)="Model",H67,IF(VLOOKUP(G67,'Role Families'!B:E,3,FALSE)="Industry",I67,J67))="Unique",VLOOKUP(G67,'Role Families'!B:E,4,FALSE),VLOOKUP(G67,'Role Families'!B:E,3,FALSE))))</f>
        <v/>
      </c>
    </row>
    <row r="68">
      <c r="A68" s="2" t="n">
        <v>67</v>
      </c>
      <c r="B68" s="2" t="inlineStr">
        <is>
          <t>Yasso</t>
        </is>
      </c>
      <c r="C68" s="2" t="inlineStr">
        <is>
          <t>Frozen Desserts / F&amp;B</t>
        </is>
      </c>
      <c r="D68" s="2" t="inlineStr">
        <is>
          <t>Wholesale</t>
        </is>
      </c>
      <c r="E68" s="2" t="inlineStr">
        <is>
          <t>Retail</t>
        </is>
      </c>
      <c r="F68" s="2" t="inlineStr">
        <is>
          <t>CMO</t>
        </is>
      </c>
      <c r="G68" s="2" t="inlineStr">
        <is>
          <t>Marketing / Brand</t>
        </is>
      </c>
      <c r="H68" s="3" t="inlineStr">
        <is>
          <t>Common</t>
        </is>
      </c>
      <c r="I68" s="3" t="inlineStr">
        <is>
          <t>Common</t>
        </is>
      </c>
      <c r="J68" s="3" t="inlineStr">
        <is>
          <t>Common</t>
        </is>
      </c>
      <c r="K68" s="5">
        <f>IF(NOT(OR(H68="Unique",I68="Unique",J68="Unique")),VLOOKUP(G68,'Role Families'!B:E,2,FALSE),IF(IF(VLOOKUP(G68,'Role Families'!B:E,2,FALSE)="Model",H68,IF(VLOOKUP(G68,'Role Families'!B:E,2,FALSE)="Industry",I68,J68))="Unique",VLOOKUP(G68,'Role Families'!B:E,2,FALSE),IF(IF(VLOOKUP(G68,'Role Families'!B:E,3,FALSE)="Model",H68,IF(VLOOKUP(G68,'Role Families'!B:E,3,FALSE)="Industry",I68,J68))="Unique",VLOOKUP(G68,'Role Families'!B:E,3,FALSE),VLOOKUP(G68,'Role Families'!B:E,4,FALSE))))</f>
        <v/>
      </c>
      <c r="L68" s="2">
        <f>IF(NOT(OR(H68="Unique",I68="Unique",J68="Unique")),VLOOKUP(G68,'Role Families'!B:E,3,FALSE),IF(IF(VLOOKUP(G68,'Role Families'!B:E,2,FALSE)="Model",H68,IF(VLOOKUP(G68,'Role Families'!B:E,2,FALSE)="Industry",I68,J68))="Unique",VLOOKUP(G68,'Role Families'!B:E,3,FALSE),VLOOKUP(G68,'Role Families'!B:E,2,FALSE)))</f>
        <v/>
      </c>
      <c r="M68" s="2">
        <f>IF(NOT(OR(H68="Unique",I68="Unique",J68="Unique")),VLOOKUP(G68,'Role Families'!B:E,4,FALSE),IF(IF(VLOOKUP(G68,'Role Families'!B:E,2,FALSE)="Model",H68,IF(VLOOKUP(G68,'Role Families'!B:E,2,FALSE)="Industry",I68,J68))="Unique",VLOOKUP(G68,'Role Families'!B:E,4,FALSE),IF(IF(VLOOKUP(G68,'Role Families'!B:E,3,FALSE)="Model",H68,IF(VLOOKUP(G68,'Role Families'!B:E,3,FALSE)="Industry",I68,J68))="Unique",VLOOKUP(G68,'Role Families'!B:E,4,FALSE),VLOOKUP(G68,'Role Families'!B:E,3,FALSE))))</f>
        <v/>
      </c>
    </row>
    <row r="69">
      <c r="A69" s="2" t="n">
        <v>68</v>
      </c>
      <c r="B69" s="2" t="inlineStr">
        <is>
          <t>Dude Wipes</t>
        </is>
      </c>
      <c r="C69" s="2" t="inlineStr">
        <is>
          <t>Personal Care</t>
        </is>
      </c>
      <c r="D69" s="2" t="inlineStr">
        <is>
          <t>Wholesale + DTC</t>
        </is>
      </c>
      <c r="E69" s="2" t="inlineStr">
        <is>
          <t>Omnichannel</t>
        </is>
      </c>
      <c r="F69" s="2" t="inlineStr">
        <is>
          <t>VP Sales</t>
        </is>
      </c>
      <c r="G69" s="2" t="inlineStr">
        <is>
          <t>Sales / Revenue</t>
        </is>
      </c>
      <c r="H69" s="3" t="inlineStr">
        <is>
          <t>Common</t>
        </is>
      </c>
      <c r="I69" s="3" t="inlineStr">
        <is>
          <t>Common</t>
        </is>
      </c>
      <c r="J69" s="3" t="inlineStr">
        <is>
          <t>Common</t>
        </is>
      </c>
      <c r="K69" s="5">
        <f>IF(NOT(OR(H69="Unique",I69="Unique",J69="Unique")),VLOOKUP(G69,'Role Families'!B:E,2,FALSE),IF(IF(VLOOKUP(G69,'Role Families'!B:E,2,FALSE)="Model",H69,IF(VLOOKUP(G69,'Role Families'!B:E,2,FALSE)="Industry",I69,J69))="Unique",VLOOKUP(G69,'Role Families'!B:E,2,FALSE),IF(IF(VLOOKUP(G69,'Role Families'!B:E,3,FALSE)="Model",H69,IF(VLOOKUP(G69,'Role Families'!B:E,3,FALSE)="Industry",I69,J69))="Unique",VLOOKUP(G69,'Role Families'!B:E,3,FALSE),VLOOKUP(G69,'Role Families'!B:E,4,FALSE))))</f>
        <v/>
      </c>
      <c r="L69" s="2">
        <f>IF(NOT(OR(H69="Unique",I69="Unique",J69="Unique")),VLOOKUP(G69,'Role Families'!B:E,3,FALSE),IF(IF(VLOOKUP(G69,'Role Families'!B:E,2,FALSE)="Model",H69,IF(VLOOKUP(G69,'Role Families'!B:E,2,FALSE)="Industry",I69,J69))="Unique",VLOOKUP(G69,'Role Families'!B:E,3,FALSE),VLOOKUP(G69,'Role Families'!B:E,2,FALSE)))</f>
        <v/>
      </c>
      <c r="M69" s="2">
        <f>IF(NOT(OR(H69="Unique",I69="Unique",J69="Unique")),VLOOKUP(G69,'Role Families'!B:E,4,FALSE),IF(IF(VLOOKUP(G69,'Role Families'!B:E,2,FALSE)="Model",H69,IF(VLOOKUP(G69,'Role Families'!B:E,2,FALSE)="Industry",I69,J69))="Unique",VLOOKUP(G69,'Role Families'!B:E,4,FALSE),IF(IF(VLOOKUP(G69,'Role Families'!B:E,3,FALSE)="Model",H69,IF(VLOOKUP(G69,'Role Families'!B:E,3,FALSE)="Industry",I69,J69))="Unique",VLOOKUP(G69,'Role Families'!B:E,4,FALSE),VLOOKUP(G69,'Role Families'!B:E,3,FALSE))))</f>
        <v/>
      </c>
    </row>
    <row r="70">
      <c r="A70" s="2" t="n">
        <v>69</v>
      </c>
      <c r="B70" s="2" t="inlineStr">
        <is>
          <t>Kodiak Cakes</t>
        </is>
      </c>
      <c r="C70" s="2" t="inlineStr">
        <is>
          <t>Natural Foods / F&amp;B</t>
        </is>
      </c>
      <c r="D70" s="2" t="inlineStr">
        <is>
          <t>Wholesale</t>
        </is>
      </c>
      <c r="E70" s="2" t="inlineStr">
        <is>
          <t>Retail</t>
        </is>
      </c>
      <c r="F70" s="2" t="inlineStr">
        <is>
          <t>CFO</t>
        </is>
      </c>
      <c r="G70" s="2" t="inlineStr">
        <is>
          <t>Finance / Accounting</t>
        </is>
      </c>
      <c r="H70" s="3" t="inlineStr">
        <is>
          <t>Common</t>
        </is>
      </c>
      <c r="I70" s="3" t="inlineStr">
        <is>
          <t>Common</t>
        </is>
      </c>
      <c r="J70" s="3" t="inlineStr">
        <is>
          <t>Common</t>
        </is>
      </c>
      <c r="K70" s="5">
        <f>IF(NOT(OR(H70="Unique",I70="Unique",J70="Unique")),VLOOKUP(G70,'Role Families'!B:E,2,FALSE),IF(IF(VLOOKUP(G70,'Role Families'!B:E,2,FALSE)="Model",H70,IF(VLOOKUP(G70,'Role Families'!B:E,2,FALSE)="Industry",I70,J70))="Unique",VLOOKUP(G70,'Role Families'!B:E,2,FALSE),IF(IF(VLOOKUP(G70,'Role Families'!B:E,3,FALSE)="Model",H70,IF(VLOOKUP(G70,'Role Families'!B:E,3,FALSE)="Industry",I70,J70))="Unique",VLOOKUP(G70,'Role Families'!B:E,3,FALSE),VLOOKUP(G70,'Role Families'!B:E,4,FALSE))))</f>
        <v/>
      </c>
      <c r="L70" s="2">
        <f>IF(NOT(OR(H70="Unique",I70="Unique",J70="Unique")),VLOOKUP(G70,'Role Families'!B:E,3,FALSE),IF(IF(VLOOKUP(G70,'Role Families'!B:E,2,FALSE)="Model",H70,IF(VLOOKUP(G70,'Role Families'!B:E,2,FALSE)="Industry",I70,J70))="Unique",VLOOKUP(G70,'Role Families'!B:E,3,FALSE),VLOOKUP(G70,'Role Families'!B:E,2,FALSE)))</f>
        <v/>
      </c>
      <c r="M70" s="2">
        <f>IF(NOT(OR(H70="Unique",I70="Unique",J70="Unique")),VLOOKUP(G70,'Role Families'!B:E,4,FALSE),IF(IF(VLOOKUP(G70,'Role Families'!B:E,2,FALSE)="Model",H70,IF(VLOOKUP(G70,'Role Families'!B:E,2,FALSE)="Industry",I70,J70))="Unique",VLOOKUP(G70,'Role Families'!B:E,4,FALSE),IF(IF(VLOOKUP(G70,'Role Families'!B:E,3,FALSE)="Model",H70,IF(VLOOKUP(G70,'Role Families'!B:E,3,FALSE)="Industry",I70,J70))="Unique",VLOOKUP(G70,'Role Families'!B:E,4,FALSE),VLOOKUP(G70,'Role Families'!B:E,3,FALSE))))</f>
        <v/>
      </c>
    </row>
    <row r="71">
      <c r="A71" s="2" t="n">
        <v>70</v>
      </c>
      <c r="B71" s="2" t="inlineStr">
        <is>
          <t>Vital Proteins</t>
        </is>
      </c>
      <c r="C71" s="2" t="inlineStr">
        <is>
          <t>Health &amp; Wellness / Supplements</t>
        </is>
      </c>
      <c r="D71" s="2" t="inlineStr">
        <is>
          <t>Wholesale + DTC</t>
        </is>
      </c>
      <c r="E71" s="2" t="inlineStr">
        <is>
          <t>Omnichannel</t>
        </is>
      </c>
      <c r="F71" s="2" t="inlineStr">
        <is>
          <t>CMO</t>
        </is>
      </c>
      <c r="G71" s="2" t="inlineStr">
        <is>
          <t>Marketing / Brand</t>
        </is>
      </c>
      <c r="H71" s="3" t="inlineStr">
        <is>
          <t>Common</t>
        </is>
      </c>
      <c r="I71" s="3" t="inlineStr">
        <is>
          <t>Common</t>
        </is>
      </c>
      <c r="J71" s="3" t="inlineStr">
        <is>
          <t>Common</t>
        </is>
      </c>
      <c r="K71" s="5">
        <f>IF(NOT(OR(H71="Unique",I71="Unique",J71="Unique")),VLOOKUP(G71,'Role Families'!B:E,2,FALSE),IF(IF(VLOOKUP(G71,'Role Families'!B:E,2,FALSE)="Model",H71,IF(VLOOKUP(G71,'Role Families'!B:E,2,FALSE)="Industry",I71,J71))="Unique",VLOOKUP(G71,'Role Families'!B:E,2,FALSE),IF(IF(VLOOKUP(G71,'Role Families'!B:E,3,FALSE)="Model",H71,IF(VLOOKUP(G71,'Role Families'!B:E,3,FALSE)="Industry",I71,J71))="Unique",VLOOKUP(G71,'Role Families'!B:E,3,FALSE),VLOOKUP(G71,'Role Families'!B:E,4,FALSE))))</f>
        <v/>
      </c>
      <c r="L71" s="2">
        <f>IF(NOT(OR(H71="Unique",I71="Unique",J71="Unique")),VLOOKUP(G71,'Role Families'!B:E,3,FALSE),IF(IF(VLOOKUP(G71,'Role Families'!B:E,2,FALSE)="Model",H71,IF(VLOOKUP(G71,'Role Families'!B:E,2,FALSE)="Industry",I71,J71))="Unique",VLOOKUP(G71,'Role Families'!B:E,3,FALSE),VLOOKUP(G71,'Role Families'!B:E,2,FALSE)))</f>
        <v/>
      </c>
      <c r="M71" s="2">
        <f>IF(NOT(OR(H71="Unique",I71="Unique",J71="Unique")),VLOOKUP(G71,'Role Families'!B:E,4,FALSE),IF(IF(VLOOKUP(G71,'Role Families'!B:E,2,FALSE)="Model",H71,IF(VLOOKUP(G71,'Role Families'!B:E,2,FALSE)="Industry",I71,J71))="Unique",VLOOKUP(G71,'Role Families'!B:E,4,FALSE),IF(IF(VLOOKUP(G71,'Role Families'!B:E,3,FALSE)="Model",H71,IF(VLOOKUP(G71,'Role Families'!B:E,3,FALSE)="Industry",I71,J71))="Unique",VLOOKUP(G71,'Role Families'!B:E,4,FALSE),VLOOKUP(G71,'Role Families'!B:E,3,FALSE))))</f>
        <v/>
      </c>
    </row>
    <row r="72">
      <c r="A72" s="2" t="n">
        <v>71</v>
      </c>
      <c r="B72" s="2" t="inlineStr">
        <is>
          <t>Nom Nom</t>
        </is>
      </c>
      <c r="C72" s="2" t="inlineStr">
        <is>
          <t>Pet Food</t>
        </is>
      </c>
      <c r="D72" s="2" t="inlineStr">
        <is>
          <t>Subscription</t>
        </is>
      </c>
      <c r="E72" s="2" t="inlineStr">
        <is>
          <t>Digital DTC</t>
        </is>
      </c>
      <c r="F72" s="2" t="inlineStr">
        <is>
          <t>COO</t>
        </is>
      </c>
      <c r="G72" s="2" t="inlineStr">
        <is>
          <t>Operations / General Mgmt</t>
        </is>
      </c>
      <c r="H72" s="3" t="inlineStr">
        <is>
          <t>Common</t>
        </is>
      </c>
      <c r="I72" s="3" t="inlineStr">
        <is>
          <t>Common</t>
        </is>
      </c>
      <c r="J72" s="3" t="inlineStr">
        <is>
          <t>Common</t>
        </is>
      </c>
      <c r="K72" s="5">
        <f>IF(NOT(OR(H72="Unique",I72="Unique",J72="Unique")),VLOOKUP(G72,'Role Families'!B:E,2,FALSE),IF(IF(VLOOKUP(G72,'Role Families'!B:E,2,FALSE)="Model",H72,IF(VLOOKUP(G72,'Role Families'!B:E,2,FALSE)="Industry",I72,J72))="Unique",VLOOKUP(G72,'Role Families'!B:E,2,FALSE),IF(IF(VLOOKUP(G72,'Role Families'!B:E,3,FALSE)="Model",H72,IF(VLOOKUP(G72,'Role Families'!B:E,3,FALSE)="Industry",I72,J72))="Unique",VLOOKUP(G72,'Role Families'!B:E,3,FALSE),VLOOKUP(G72,'Role Families'!B:E,4,FALSE))))</f>
        <v/>
      </c>
      <c r="L72" s="2">
        <f>IF(NOT(OR(H72="Unique",I72="Unique",J72="Unique")),VLOOKUP(G72,'Role Families'!B:E,3,FALSE),IF(IF(VLOOKUP(G72,'Role Families'!B:E,2,FALSE)="Model",H72,IF(VLOOKUP(G72,'Role Families'!B:E,2,FALSE)="Industry",I72,J72))="Unique",VLOOKUP(G72,'Role Families'!B:E,3,FALSE),VLOOKUP(G72,'Role Families'!B:E,2,FALSE)))</f>
        <v/>
      </c>
      <c r="M72" s="2">
        <f>IF(NOT(OR(H72="Unique",I72="Unique",J72="Unique")),VLOOKUP(G72,'Role Families'!B:E,4,FALSE),IF(IF(VLOOKUP(G72,'Role Families'!B:E,2,FALSE)="Model",H72,IF(VLOOKUP(G72,'Role Families'!B:E,2,FALSE)="Industry",I72,J72))="Unique",VLOOKUP(G72,'Role Families'!B:E,4,FALSE),IF(IF(VLOOKUP(G72,'Role Families'!B:E,3,FALSE)="Model",H72,IF(VLOOKUP(G72,'Role Families'!B:E,3,FALSE)="Industry",I72,J72))="Unique",VLOOKUP(G72,'Role Families'!B:E,4,FALSE),VLOOKUP(G72,'Role Families'!B:E,3,FALSE))))</f>
        <v/>
      </c>
    </row>
    <row r="73">
      <c r="A73" s="2" t="n">
        <v>72</v>
      </c>
      <c r="B73" s="2" t="inlineStr">
        <is>
          <t>True Classic</t>
        </is>
      </c>
      <c r="C73" s="2" t="inlineStr">
        <is>
          <t>Apparel / Men's Basics</t>
        </is>
      </c>
      <c r="D73" s="2" t="inlineStr">
        <is>
          <t>E-Commerce</t>
        </is>
      </c>
      <c r="E73" s="2" t="inlineStr">
        <is>
          <t>Digital DTC</t>
        </is>
      </c>
      <c r="F73" s="2" t="inlineStr">
        <is>
          <t>VP Sales</t>
        </is>
      </c>
      <c r="G73" s="2" t="inlineStr">
        <is>
          <t>Sales / Revenue</t>
        </is>
      </c>
      <c r="H73" s="3" t="inlineStr">
        <is>
          <t>Common</t>
        </is>
      </c>
      <c r="I73" s="3" t="inlineStr">
        <is>
          <t>Common</t>
        </is>
      </c>
      <c r="J73" s="3" t="inlineStr">
        <is>
          <t>Common</t>
        </is>
      </c>
      <c r="K73" s="5">
        <f>IF(NOT(OR(H73="Unique",I73="Unique",J73="Unique")),VLOOKUP(G73,'Role Families'!B:E,2,FALSE),IF(IF(VLOOKUP(G73,'Role Families'!B:E,2,FALSE)="Model",H73,IF(VLOOKUP(G73,'Role Families'!B:E,2,FALSE)="Industry",I73,J73))="Unique",VLOOKUP(G73,'Role Families'!B:E,2,FALSE),IF(IF(VLOOKUP(G73,'Role Families'!B:E,3,FALSE)="Model",H73,IF(VLOOKUP(G73,'Role Families'!B:E,3,FALSE)="Industry",I73,J73))="Unique",VLOOKUP(G73,'Role Families'!B:E,3,FALSE),VLOOKUP(G73,'Role Families'!B:E,4,FALSE))))</f>
        <v/>
      </c>
      <c r="L73" s="2">
        <f>IF(NOT(OR(H73="Unique",I73="Unique",J73="Unique")),VLOOKUP(G73,'Role Families'!B:E,3,FALSE),IF(IF(VLOOKUP(G73,'Role Families'!B:E,2,FALSE)="Model",H73,IF(VLOOKUP(G73,'Role Families'!B:E,2,FALSE)="Industry",I73,J73))="Unique",VLOOKUP(G73,'Role Families'!B:E,3,FALSE),VLOOKUP(G73,'Role Families'!B:E,2,FALSE)))</f>
        <v/>
      </c>
      <c r="M73" s="2">
        <f>IF(NOT(OR(H73="Unique",I73="Unique",J73="Unique")),VLOOKUP(G73,'Role Families'!B:E,4,FALSE),IF(IF(VLOOKUP(G73,'Role Families'!B:E,2,FALSE)="Model",H73,IF(VLOOKUP(G73,'Role Families'!B:E,2,FALSE)="Industry",I73,J73))="Unique",VLOOKUP(G73,'Role Families'!B:E,4,FALSE),IF(IF(VLOOKUP(G73,'Role Families'!B:E,3,FALSE)="Model",H73,IF(VLOOKUP(G73,'Role Families'!B:E,3,FALSE)="Industry",I73,J73))="Unique",VLOOKUP(G73,'Role Families'!B:E,4,FALSE),VLOOKUP(G73,'Role Families'!B:E,3,FALSE))))</f>
        <v/>
      </c>
    </row>
    <row r="74">
      <c r="A74" s="2" t="n">
        <v>73</v>
      </c>
      <c r="B74" s="2" t="inlineStr">
        <is>
          <t>Burt's Bees</t>
        </is>
      </c>
      <c r="C74" s="2" t="inlineStr">
        <is>
          <t>Natural Personal Care</t>
        </is>
      </c>
      <c r="D74" s="2" t="inlineStr">
        <is>
          <t>Wholesale</t>
        </is>
      </c>
      <c r="E74" s="2" t="inlineStr">
        <is>
          <t>Retail</t>
        </is>
      </c>
      <c r="F74" s="2" t="inlineStr">
        <is>
          <t>VP Product</t>
        </is>
      </c>
      <c r="G74" s="2" t="inlineStr">
        <is>
          <t>Product</t>
        </is>
      </c>
      <c r="H74" s="3" t="inlineStr">
        <is>
          <t>Common</t>
        </is>
      </c>
      <c r="I74" s="3" t="inlineStr">
        <is>
          <t>Common</t>
        </is>
      </c>
      <c r="J74" s="3" t="inlineStr">
        <is>
          <t>Common</t>
        </is>
      </c>
      <c r="K74" s="5">
        <f>IF(NOT(OR(H74="Unique",I74="Unique",J74="Unique")),VLOOKUP(G74,'Role Families'!B:E,2,FALSE),IF(IF(VLOOKUP(G74,'Role Families'!B:E,2,FALSE)="Model",H74,IF(VLOOKUP(G74,'Role Families'!B:E,2,FALSE)="Industry",I74,J74))="Unique",VLOOKUP(G74,'Role Families'!B:E,2,FALSE),IF(IF(VLOOKUP(G74,'Role Families'!B:E,3,FALSE)="Model",H74,IF(VLOOKUP(G74,'Role Families'!B:E,3,FALSE)="Industry",I74,J74))="Unique",VLOOKUP(G74,'Role Families'!B:E,3,FALSE),VLOOKUP(G74,'Role Families'!B:E,4,FALSE))))</f>
        <v/>
      </c>
      <c r="L74" s="2">
        <f>IF(NOT(OR(H74="Unique",I74="Unique",J74="Unique")),VLOOKUP(G74,'Role Families'!B:E,3,FALSE),IF(IF(VLOOKUP(G74,'Role Families'!B:E,2,FALSE)="Model",H74,IF(VLOOKUP(G74,'Role Families'!B:E,2,FALSE)="Industry",I74,J74))="Unique",VLOOKUP(G74,'Role Families'!B:E,3,FALSE),VLOOKUP(G74,'Role Families'!B:E,2,FALSE)))</f>
        <v/>
      </c>
      <c r="M74" s="2">
        <f>IF(NOT(OR(H74="Unique",I74="Unique",J74="Unique")),VLOOKUP(G74,'Role Families'!B:E,4,FALSE),IF(IF(VLOOKUP(G74,'Role Families'!B:E,2,FALSE)="Model",H74,IF(VLOOKUP(G74,'Role Families'!B:E,2,FALSE)="Industry",I74,J74))="Unique",VLOOKUP(G74,'Role Families'!B:E,4,FALSE),IF(IF(VLOOKUP(G74,'Role Families'!B:E,3,FALSE)="Model",H74,IF(VLOOKUP(G74,'Role Families'!B:E,3,FALSE)="Industry",I74,J74))="Unique",VLOOKUP(G74,'Role Families'!B:E,4,FALSE),VLOOKUP(G74,'Role Families'!B:E,3,FALSE))))</f>
        <v/>
      </c>
    </row>
    <row r="75">
      <c r="A75" s="2" t="n">
        <v>74</v>
      </c>
      <c r="B75" s="2" t="inlineStr">
        <is>
          <t>Dr. Bronner's</t>
        </is>
      </c>
      <c r="C75" s="2" t="inlineStr">
        <is>
          <t>Natural Personal Care</t>
        </is>
      </c>
      <c r="D75" s="2" t="inlineStr">
        <is>
          <t>Wholesale + DTC</t>
        </is>
      </c>
      <c r="E75" s="2" t="inlineStr">
        <is>
          <t>Omnichannel</t>
        </is>
      </c>
      <c r="F75" s="2" t="inlineStr">
        <is>
          <t>VP People</t>
        </is>
      </c>
      <c r="G75" s="2" t="inlineStr">
        <is>
          <t>People / HR</t>
        </is>
      </c>
      <c r="H75" s="3" t="inlineStr">
        <is>
          <t>Common</t>
        </is>
      </c>
      <c r="I75" s="3" t="inlineStr">
        <is>
          <t>Common</t>
        </is>
      </c>
      <c r="J75" s="3" t="inlineStr">
        <is>
          <t>Common</t>
        </is>
      </c>
      <c r="K75" s="5">
        <f>IF(NOT(OR(H75="Unique",I75="Unique",J75="Unique")),VLOOKUP(G75,'Role Families'!B:E,2,FALSE),IF(IF(VLOOKUP(G75,'Role Families'!B:E,2,FALSE)="Model",H75,IF(VLOOKUP(G75,'Role Families'!B:E,2,FALSE)="Industry",I75,J75))="Unique",VLOOKUP(G75,'Role Families'!B:E,2,FALSE),IF(IF(VLOOKUP(G75,'Role Families'!B:E,3,FALSE)="Model",H75,IF(VLOOKUP(G75,'Role Families'!B:E,3,FALSE)="Industry",I75,J75))="Unique",VLOOKUP(G75,'Role Families'!B:E,3,FALSE),VLOOKUP(G75,'Role Families'!B:E,4,FALSE))))</f>
        <v/>
      </c>
      <c r="L75" s="2">
        <f>IF(NOT(OR(H75="Unique",I75="Unique",J75="Unique")),VLOOKUP(G75,'Role Families'!B:E,3,FALSE),IF(IF(VLOOKUP(G75,'Role Families'!B:E,2,FALSE)="Model",H75,IF(VLOOKUP(G75,'Role Families'!B:E,2,FALSE)="Industry",I75,J75))="Unique",VLOOKUP(G75,'Role Families'!B:E,3,FALSE),VLOOKUP(G75,'Role Families'!B:E,2,FALSE)))</f>
        <v/>
      </c>
      <c r="M75" s="2">
        <f>IF(NOT(OR(H75="Unique",I75="Unique",J75="Unique")),VLOOKUP(G75,'Role Families'!B:E,4,FALSE),IF(IF(VLOOKUP(G75,'Role Families'!B:E,2,FALSE)="Model",H75,IF(VLOOKUP(G75,'Role Families'!B:E,2,FALSE)="Industry",I75,J75))="Unique",VLOOKUP(G75,'Role Families'!B:E,4,FALSE),IF(IF(VLOOKUP(G75,'Role Families'!B:E,3,FALSE)="Model",H75,IF(VLOOKUP(G75,'Role Families'!B:E,3,FALSE)="Industry",I75,J75))="Unique",VLOOKUP(G75,'Role Families'!B:E,4,FALSE),VLOOKUP(G75,'Role Families'!B:E,3,FALSE))))</f>
        <v/>
      </c>
    </row>
    <row r="76">
      <c r="A76" s="2" t="n">
        <v>75</v>
      </c>
      <c r="B76" s="2" t="inlineStr">
        <is>
          <t>Coffee Cafe Chain</t>
        </is>
      </c>
      <c r="C76" s="2" t="inlineStr">
        <is>
          <t>F&amp;B / QSR</t>
        </is>
      </c>
      <c r="D76" s="2" t="inlineStr">
        <is>
          <t>Ad Hoc Commerce</t>
        </is>
      </c>
      <c r="E76" s="2" t="inlineStr">
        <is>
          <t>Multi-unit Four-wall</t>
        </is>
      </c>
      <c r="F76" s="2" t="inlineStr">
        <is>
          <t>CFO</t>
        </is>
      </c>
      <c r="G76" s="2" t="inlineStr">
        <is>
          <t>Finance / Accounting</t>
        </is>
      </c>
      <c r="H76" s="3" t="inlineStr">
        <is>
          <t>Common</t>
        </is>
      </c>
      <c r="I76" s="3" t="inlineStr">
        <is>
          <t>Common</t>
        </is>
      </c>
      <c r="J76" s="3" t="inlineStr">
        <is>
          <t>Common</t>
        </is>
      </c>
      <c r="K76" s="5">
        <f>IF(NOT(OR(H76="Unique",I76="Unique",J76="Unique")),VLOOKUP(G76,'Role Families'!B:E,2,FALSE),IF(IF(VLOOKUP(G76,'Role Families'!B:E,2,FALSE)="Model",H76,IF(VLOOKUP(G76,'Role Families'!B:E,2,FALSE)="Industry",I76,J76))="Unique",VLOOKUP(G76,'Role Families'!B:E,2,FALSE),IF(IF(VLOOKUP(G76,'Role Families'!B:E,3,FALSE)="Model",H76,IF(VLOOKUP(G76,'Role Families'!B:E,3,FALSE)="Industry",I76,J76))="Unique",VLOOKUP(G76,'Role Families'!B:E,3,FALSE),VLOOKUP(G76,'Role Families'!B:E,4,FALSE))))</f>
        <v/>
      </c>
      <c r="L76" s="2">
        <f>IF(NOT(OR(H76="Unique",I76="Unique",J76="Unique")),VLOOKUP(G76,'Role Families'!B:E,3,FALSE),IF(IF(VLOOKUP(G76,'Role Families'!B:E,2,FALSE)="Model",H76,IF(VLOOKUP(G76,'Role Families'!B:E,2,FALSE)="Industry",I76,J76))="Unique",VLOOKUP(G76,'Role Families'!B:E,3,FALSE),VLOOKUP(G76,'Role Families'!B:E,2,FALSE)))</f>
        <v/>
      </c>
      <c r="M76" s="2">
        <f>IF(NOT(OR(H76="Unique",I76="Unique",J76="Unique")),VLOOKUP(G76,'Role Families'!B:E,4,FALSE),IF(IF(VLOOKUP(G76,'Role Families'!B:E,2,FALSE)="Model",H76,IF(VLOOKUP(G76,'Role Families'!B:E,2,FALSE)="Industry",I76,J76))="Unique",VLOOKUP(G76,'Role Families'!B:E,4,FALSE),IF(IF(VLOOKUP(G76,'Role Families'!B:E,3,FALSE)="Model",H76,IF(VLOOKUP(G76,'Role Families'!B:E,3,FALSE)="Industry",I76,J76))="Unique",VLOOKUP(G76,'Role Families'!B:E,4,FALSE),VLOOKUP(G76,'Role Families'!B:E,3,FALSE))))</f>
        <v/>
      </c>
    </row>
    <row r="77">
      <c r="A77" s="2" t="n">
        <v>76</v>
      </c>
      <c r="B77" s="2" t="inlineStr">
        <is>
          <t>Carvana</t>
        </is>
      </c>
      <c r="C77" s="2" t="inlineStr">
        <is>
          <t>Automotive / E-Commerce</t>
        </is>
      </c>
      <c r="D77" s="2" t="inlineStr">
        <is>
          <t>E-Commerce (Inventory)</t>
        </is>
      </c>
      <c r="E77" s="2" t="inlineStr">
        <is>
          <t>Digital + Physical</t>
        </is>
      </c>
      <c r="F77" s="2" t="inlineStr">
        <is>
          <t>CFO</t>
        </is>
      </c>
      <c r="G77" s="2" t="inlineStr">
        <is>
          <t>Finance / Accounting</t>
        </is>
      </c>
      <c r="H77" s="3" t="inlineStr">
        <is>
          <t>Common</t>
        </is>
      </c>
      <c r="I77" s="3" t="inlineStr">
        <is>
          <t>Common</t>
        </is>
      </c>
      <c r="J77" s="3" t="inlineStr">
        <is>
          <t>Common</t>
        </is>
      </c>
      <c r="K77" s="5">
        <f>IF(NOT(OR(H77="Unique",I77="Unique",J77="Unique")),VLOOKUP(G77,'Role Families'!B:E,2,FALSE),IF(IF(VLOOKUP(G77,'Role Families'!B:E,2,FALSE)="Model",H77,IF(VLOOKUP(G77,'Role Families'!B:E,2,FALSE)="Industry",I77,J77))="Unique",VLOOKUP(G77,'Role Families'!B:E,2,FALSE),IF(IF(VLOOKUP(G77,'Role Families'!B:E,3,FALSE)="Model",H77,IF(VLOOKUP(G77,'Role Families'!B:E,3,FALSE)="Industry",I77,J77))="Unique",VLOOKUP(G77,'Role Families'!B:E,3,FALSE),VLOOKUP(G77,'Role Families'!B:E,4,FALSE))))</f>
        <v/>
      </c>
      <c r="L77" s="2">
        <f>IF(NOT(OR(H77="Unique",I77="Unique",J77="Unique")),VLOOKUP(G77,'Role Families'!B:E,3,FALSE),IF(IF(VLOOKUP(G77,'Role Families'!B:E,2,FALSE)="Model",H77,IF(VLOOKUP(G77,'Role Families'!B:E,2,FALSE)="Industry",I77,J77))="Unique",VLOOKUP(G77,'Role Families'!B:E,3,FALSE),VLOOKUP(G77,'Role Families'!B:E,2,FALSE)))</f>
        <v/>
      </c>
      <c r="M77" s="2">
        <f>IF(NOT(OR(H77="Unique",I77="Unique",J77="Unique")),VLOOKUP(G77,'Role Families'!B:E,4,FALSE),IF(IF(VLOOKUP(G77,'Role Families'!B:E,2,FALSE)="Model",H77,IF(VLOOKUP(G77,'Role Families'!B:E,2,FALSE)="Industry",I77,J77))="Unique",VLOOKUP(G77,'Role Families'!B:E,4,FALSE),IF(IF(VLOOKUP(G77,'Role Families'!B:E,3,FALSE)="Model",H77,IF(VLOOKUP(G77,'Role Families'!B:E,3,FALSE)="Industry",I77,J77))="Unique",VLOOKUP(G77,'Role Families'!B:E,4,FALSE),VLOOKUP(G77,'Role Families'!B:E,3,FALSE))))</f>
        <v/>
      </c>
    </row>
    <row r="78">
      <c r="A78" s="2" t="n">
        <v>77</v>
      </c>
      <c r="B78" s="2" t="inlineStr">
        <is>
          <t>Carvana</t>
        </is>
      </c>
      <c r="C78" s="2" t="inlineStr">
        <is>
          <t>Automotive / E-Commerce</t>
        </is>
      </c>
      <c r="D78" s="2" t="inlineStr">
        <is>
          <t>E-Commerce (Inventory)</t>
        </is>
      </c>
      <c r="E78" s="2" t="inlineStr">
        <is>
          <t>Digital + Physical</t>
        </is>
      </c>
      <c r="F78" s="2" t="inlineStr">
        <is>
          <t>VP Data</t>
        </is>
      </c>
      <c r="G78" s="2" t="inlineStr">
        <is>
          <t>Data / Analytics</t>
        </is>
      </c>
      <c r="H78" s="3" t="inlineStr">
        <is>
          <t>Common</t>
        </is>
      </c>
      <c r="I78" s="3" t="inlineStr">
        <is>
          <t>Common</t>
        </is>
      </c>
      <c r="J78" s="3" t="inlineStr">
        <is>
          <t>Common</t>
        </is>
      </c>
      <c r="K78" s="5">
        <f>IF(NOT(OR(H78="Unique",I78="Unique",J78="Unique")),VLOOKUP(G78,'Role Families'!B:E,2,FALSE),IF(IF(VLOOKUP(G78,'Role Families'!B:E,2,FALSE)="Model",H78,IF(VLOOKUP(G78,'Role Families'!B:E,2,FALSE)="Industry",I78,J78))="Unique",VLOOKUP(G78,'Role Families'!B:E,2,FALSE),IF(IF(VLOOKUP(G78,'Role Families'!B:E,3,FALSE)="Model",H78,IF(VLOOKUP(G78,'Role Families'!B:E,3,FALSE)="Industry",I78,J78))="Unique",VLOOKUP(G78,'Role Families'!B:E,3,FALSE),VLOOKUP(G78,'Role Families'!B:E,4,FALSE))))</f>
        <v/>
      </c>
      <c r="L78" s="2">
        <f>IF(NOT(OR(H78="Unique",I78="Unique",J78="Unique")),VLOOKUP(G78,'Role Families'!B:E,3,FALSE),IF(IF(VLOOKUP(G78,'Role Families'!B:E,2,FALSE)="Model",H78,IF(VLOOKUP(G78,'Role Families'!B:E,2,FALSE)="Industry",I78,J78))="Unique",VLOOKUP(G78,'Role Families'!B:E,3,FALSE),VLOOKUP(G78,'Role Families'!B:E,2,FALSE)))</f>
        <v/>
      </c>
      <c r="M78" s="2">
        <f>IF(NOT(OR(H78="Unique",I78="Unique",J78="Unique")),VLOOKUP(G78,'Role Families'!B:E,4,FALSE),IF(IF(VLOOKUP(G78,'Role Families'!B:E,2,FALSE)="Model",H78,IF(VLOOKUP(G78,'Role Families'!B:E,2,FALSE)="Industry",I78,J78))="Unique",VLOOKUP(G78,'Role Families'!B:E,4,FALSE),IF(IF(VLOOKUP(G78,'Role Families'!B:E,3,FALSE)="Model",H78,IF(VLOOKUP(G78,'Role Families'!B:E,3,FALSE)="Industry",I78,J78))="Unique",VLOOKUP(G78,'Role Families'!B:E,4,FALSE),VLOOKUP(G78,'Role Families'!B:E,3,FALSE))))</f>
        <v/>
      </c>
    </row>
    <row r="79">
      <c r="A79" s="2" t="n">
        <v>78</v>
      </c>
      <c r="B79" s="2" t="inlineStr">
        <is>
          <t>Instacart</t>
        </is>
      </c>
      <c r="C79" s="2" t="inlineStr">
        <is>
          <t>Grocery / Marketplace</t>
        </is>
      </c>
      <c r="D79" s="2" t="inlineStr">
        <is>
          <t>Marketplace + Advertising</t>
        </is>
      </c>
      <c r="E79" s="2" t="inlineStr">
        <is>
          <t>Digital Platform</t>
        </is>
      </c>
      <c r="F79" s="2" t="inlineStr">
        <is>
          <t>VP Engineering</t>
        </is>
      </c>
      <c r="G79" s="2" t="inlineStr">
        <is>
          <t>Technology / Engineering</t>
        </is>
      </c>
      <c r="H79" s="3" t="inlineStr">
        <is>
          <t>Common</t>
        </is>
      </c>
      <c r="I79" s="3" t="inlineStr">
        <is>
          <t>Common</t>
        </is>
      </c>
      <c r="J79" s="3" t="inlineStr">
        <is>
          <t>Common</t>
        </is>
      </c>
      <c r="K79" s="5">
        <f>IF(NOT(OR(H79="Unique",I79="Unique",J79="Unique")),VLOOKUP(G79,'Role Families'!B:E,2,FALSE),IF(IF(VLOOKUP(G79,'Role Families'!B:E,2,FALSE)="Model",H79,IF(VLOOKUP(G79,'Role Families'!B:E,2,FALSE)="Industry",I79,J79))="Unique",VLOOKUP(G79,'Role Families'!B:E,2,FALSE),IF(IF(VLOOKUP(G79,'Role Families'!B:E,3,FALSE)="Model",H79,IF(VLOOKUP(G79,'Role Families'!B:E,3,FALSE)="Industry",I79,J79))="Unique",VLOOKUP(G79,'Role Families'!B:E,3,FALSE),VLOOKUP(G79,'Role Families'!B:E,4,FALSE))))</f>
        <v/>
      </c>
      <c r="L79" s="2">
        <f>IF(NOT(OR(H79="Unique",I79="Unique",J79="Unique")),VLOOKUP(G79,'Role Families'!B:E,3,FALSE),IF(IF(VLOOKUP(G79,'Role Families'!B:E,2,FALSE)="Model",H79,IF(VLOOKUP(G79,'Role Families'!B:E,2,FALSE)="Industry",I79,J79))="Unique",VLOOKUP(G79,'Role Families'!B:E,3,FALSE),VLOOKUP(G79,'Role Families'!B:E,2,FALSE)))</f>
        <v/>
      </c>
      <c r="M79" s="2">
        <f>IF(NOT(OR(H79="Unique",I79="Unique",J79="Unique")),VLOOKUP(G79,'Role Families'!B:E,4,FALSE),IF(IF(VLOOKUP(G79,'Role Families'!B:E,2,FALSE)="Model",H79,IF(VLOOKUP(G79,'Role Families'!B:E,2,FALSE)="Industry",I79,J79))="Unique",VLOOKUP(G79,'Role Families'!B:E,4,FALSE),IF(IF(VLOOKUP(G79,'Role Families'!B:E,3,FALSE)="Model",H79,IF(VLOOKUP(G79,'Role Families'!B:E,3,FALSE)="Industry",I79,J79))="Unique",VLOOKUP(G79,'Role Families'!B:E,4,FALSE),VLOOKUP(G79,'Role Families'!B:E,3,FALSE))))</f>
        <v/>
      </c>
    </row>
    <row r="80">
      <c r="A80" s="2" t="n">
        <v>79</v>
      </c>
      <c r="B80" s="2" t="inlineStr">
        <is>
          <t>Instacart</t>
        </is>
      </c>
      <c r="C80" s="2" t="inlineStr">
        <is>
          <t>Grocery / Marketplace</t>
        </is>
      </c>
      <c r="D80" s="2" t="inlineStr">
        <is>
          <t>Marketplace + Advertising</t>
        </is>
      </c>
      <c r="E80" s="2" t="inlineStr">
        <is>
          <t>Digital Platform</t>
        </is>
      </c>
      <c r="F80" s="2" t="inlineStr">
        <is>
          <t>VP Sales</t>
        </is>
      </c>
      <c r="G80" s="2" t="inlineStr">
        <is>
          <t>Sales / Revenue</t>
        </is>
      </c>
      <c r="H80" s="3" t="inlineStr">
        <is>
          <t>Common</t>
        </is>
      </c>
      <c r="I80" s="3" t="inlineStr">
        <is>
          <t>Common</t>
        </is>
      </c>
      <c r="J80" s="3" t="inlineStr">
        <is>
          <t>Common</t>
        </is>
      </c>
      <c r="K80" s="5">
        <f>IF(NOT(OR(H80="Unique",I80="Unique",J80="Unique")),VLOOKUP(G80,'Role Families'!B:E,2,FALSE),IF(IF(VLOOKUP(G80,'Role Families'!B:E,2,FALSE)="Model",H80,IF(VLOOKUP(G80,'Role Families'!B:E,2,FALSE)="Industry",I80,J80))="Unique",VLOOKUP(G80,'Role Families'!B:E,2,FALSE),IF(IF(VLOOKUP(G80,'Role Families'!B:E,3,FALSE)="Model",H80,IF(VLOOKUP(G80,'Role Families'!B:E,3,FALSE)="Industry",I80,J80))="Unique",VLOOKUP(G80,'Role Families'!B:E,3,FALSE),VLOOKUP(G80,'Role Families'!B:E,4,FALSE))))</f>
        <v/>
      </c>
      <c r="L80" s="2">
        <f>IF(NOT(OR(H80="Unique",I80="Unique",J80="Unique")),VLOOKUP(G80,'Role Families'!B:E,3,FALSE),IF(IF(VLOOKUP(G80,'Role Families'!B:E,2,FALSE)="Model",H80,IF(VLOOKUP(G80,'Role Families'!B:E,2,FALSE)="Industry",I80,J80))="Unique",VLOOKUP(G80,'Role Families'!B:E,3,FALSE),VLOOKUP(G80,'Role Families'!B:E,2,FALSE)))</f>
        <v/>
      </c>
      <c r="M80" s="2">
        <f>IF(NOT(OR(H80="Unique",I80="Unique",J80="Unique")),VLOOKUP(G80,'Role Families'!B:E,4,FALSE),IF(IF(VLOOKUP(G80,'Role Families'!B:E,2,FALSE)="Model",H80,IF(VLOOKUP(G80,'Role Families'!B:E,2,FALSE)="Industry",I80,J80))="Unique",VLOOKUP(G80,'Role Families'!B:E,4,FALSE),IF(IF(VLOOKUP(G80,'Role Families'!B:E,3,FALSE)="Model",H80,IF(VLOOKUP(G80,'Role Families'!B:E,3,FALSE)="Industry",I80,J80))="Unique",VLOOKUP(G80,'Role Families'!B:E,4,FALSE),VLOOKUP(G80,'Role Families'!B:E,3,FALSE))))</f>
        <v/>
      </c>
    </row>
    <row r="81">
      <c r="A81" s="2" t="n">
        <v>80</v>
      </c>
      <c r="B81" s="2" t="inlineStr">
        <is>
          <t>Toast</t>
        </is>
      </c>
      <c r="C81" s="2" t="inlineStr">
        <is>
          <t>Restaurant Technology</t>
        </is>
      </c>
      <c r="D81" s="2" t="inlineStr">
        <is>
          <t>SaaS + Payments</t>
        </is>
      </c>
      <c r="E81" s="2" t="inlineStr">
        <is>
          <t>Digital Platform</t>
        </is>
      </c>
      <c r="F81" s="2" t="inlineStr">
        <is>
          <t>CFO</t>
        </is>
      </c>
      <c r="G81" s="2" t="inlineStr">
        <is>
          <t>Finance / Accounting</t>
        </is>
      </c>
      <c r="H81" s="3" t="inlineStr">
        <is>
          <t>Common</t>
        </is>
      </c>
      <c r="I81" s="3" t="inlineStr">
        <is>
          <t>Common</t>
        </is>
      </c>
      <c r="J81" s="3" t="inlineStr">
        <is>
          <t>Common</t>
        </is>
      </c>
      <c r="K81" s="5">
        <f>IF(NOT(OR(H81="Unique",I81="Unique",J81="Unique")),VLOOKUP(G81,'Role Families'!B:E,2,FALSE),IF(IF(VLOOKUP(G81,'Role Families'!B:E,2,FALSE)="Model",H81,IF(VLOOKUP(G81,'Role Families'!B:E,2,FALSE)="Industry",I81,J81))="Unique",VLOOKUP(G81,'Role Families'!B:E,2,FALSE),IF(IF(VLOOKUP(G81,'Role Families'!B:E,3,FALSE)="Model",H81,IF(VLOOKUP(G81,'Role Families'!B:E,3,FALSE)="Industry",I81,J81))="Unique",VLOOKUP(G81,'Role Families'!B:E,3,FALSE),VLOOKUP(G81,'Role Families'!B:E,4,FALSE))))</f>
        <v/>
      </c>
      <c r="L81" s="2">
        <f>IF(NOT(OR(H81="Unique",I81="Unique",J81="Unique")),VLOOKUP(G81,'Role Families'!B:E,3,FALSE),IF(IF(VLOOKUP(G81,'Role Families'!B:E,2,FALSE)="Model",H81,IF(VLOOKUP(G81,'Role Families'!B:E,2,FALSE)="Industry",I81,J81))="Unique",VLOOKUP(G81,'Role Families'!B:E,3,FALSE),VLOOKUP(G81,'Role Families'!B:E,2,FALSE)))</f>
        <v/>
      </c>
      <c r="M81" s="2">
        <f>IF(NOT(OR(H81="Unique",I81="Unique",J81="Unique")),VLOOKUP(G81,'Role Families'!B:E,4,FALSE),IF(IF(VLOOKUP(G81,'Role Families'!B:E,2,FALSE)="Model",H81,IF(VLOOKUP(G81,'Role Families'!B:E,2,FALSE)="Industry",I81,J81))="Unique",VLOOKUP(G81,'Role Families'!B:E,4,FALSE),IF(IF(VLOOKUP(G81,'Role Families'!B:E,3,FALSE)="Model",H81,IF(VLOOKUP(G81,'Role Families'!B:E,3,FALSE)="Industry",I81,J81))="Unique",VLOOKUP(G81,'Role Families'!B:E,4,FALSE),VLOOKUP(G81,'Role Families'!B:E,3,FALSE))))</f>
        <v/>
      </c>
    </row>
    <row r="82">
      <c r="A82" s="2" t="n">
        <v>81</v>
      </c>
      <c r="B82" s="2" t="inlineStr">
        <is>
          <t>Toast</t>
        </is>
      </c>
      <c r="C82" s="2" t="inlineStr">
        <is>
          <t>Restaurant Technology</t>
        </is>
      </c>
      <c r="D82" s="2" t="inlineStr">
        <is>
          <t>SaaS + Payments</t>
        </is>
      </c>
      <c r="E82" s="2" t="inlineStr">
        <is>
          <t>Digital Platform</t>
        </is>
      </c>
      <c r="F82" s="2" t="inlineStr">
        <is>
          <t>CRO</t>
        </is>
      </c>
      <c r="G82" s="2" t="inlineStr">
        <is>
          <t>Sales / Revenue</t>
        </is>
      </c>
      <c r="H82" s="3" t="inlineStr">
        <is>
          <t>Common</t>
        </is>
      </c>
      <c r="I82" s="3" t="inlineStr">
        <is>
          <t>Common</t>
        </is>
      </c>
      <c r="J82" s="3" t="inlineStr">
        <is>
          <t>Common</t>
        </is>
      </c>
      <c r="K82" s="5">
        <f>IF(NOT(OR(H82="Unique",I82="Unique",J82="Unique")),VLOOKUP(G82,'Role Families'!B:E,2,FALSE),IF(IF(VLOOKUP(G82,'Role Families'!B:E,2,FALSE)="Model",H82,IF(VLOOKUP(G82,'Role Families'!B:E,2,FALSE)="Industry",I82,J82))="Unique",VLOOKUP(G82,'Role Families'!B:E,2,FALSE),IF(IF(VLOOKUP(G82,'Role Families'!B:E,3,FALSE)="Model",H82,IF(VLOOKUP(G82,'Role Families'!B:E,3,FALSE)="Industry",I82,J82))="Unique",VLOOKUP(G82,'Role Families'!B:E,3,FALSE),VLOOKUP(G82,'Role Families'!B:E,4,FALSE))))</f>
        <v/>
      </c>
      <c r="L82" s="2">
        <f>IF(NOT(OR(H82="Unique",I82="Unique",J82="Unique")),VLOOKUP(G82,'Role Families'!B:E,3,FALSE),IF(IF(VLOOKUP(G82,'Role Families'!B:E,2,FALSE)="Model",H82,IF(VLOOKUP(G82,'Role Families'!B:E,2,FALSE)="Industry",I82,J82))="Unique",VLOOKUP(G82,'Role Families'!B:E,3,FALSE),VLOOKUP(G82,'Role Families'!B:E,2,FALSE)))</f>
        <v/>
      </c>
      <c r="M82" s="2">
        <f>IF(NOT(OR(H82="Unique",I82="Unique",J82="Unique")),VLOOKUP(G82,'Role Families'!B:E,4,FALSE),IF(IF(VLOOKUP(G82,'Role Families'!B:E,2,FALSE)="Model",H82,IF(VLOOKUP(G82,'Role Families'!B:E,2,FALSE)="Industry",I82,J82))="Unique",VLOOKUP(G82,'Role Families'!B:E,4,FALSE),IF(IF(VLOOKUP(G82,'Role Families'!B:E,3,FALSE)="Model",H82,IF(VLOOKUP(G82,'Role Families'!B:E,3,FALSE)="Industry",I82,J82))="Unique",VLOOKUP(G82,'Role Families'!B:E,4,FALSE),VLOOKUP(G82,'Role Families'!B:E,3,FALSE))))</f>
        <v/>
      </c>
    </row>
    <row r="83">
      <c r="A83" s="2" t="n">
        <v>82</v>
      </c>
      <c r="B83" s="2" t="inlineStr">
        <is>
          <t>One Medical</t>
        </is>
      </c>
      <c r="C83" s="2" t="inlineStr">
        <is>
          <t>Healthcare / Primary Care</t>
        </is>
      </c>
      <c r="D83" s="2" t="inlineStr">
        <is>
          <t>Membership</t>
        </is>
      </c>
      <c r="E83" s="2" t="inlineStr">
        <is>
          <t>Multi-unit Four-wall + Telehealth</t>
        </is>
      </c>
      <c r="F83" s="2" t="inlineStr">
        <is>
          <t>CFO</t>
        </is>
      </c>
      <c r="G83" s="2" t="inlineStr">
        <is>
          <t>Finance / Accounting</t>
        </is>
      </c>
      <c r="H83" s="3" t="inlineStr">
        <is>
          <t>Common</t>
        </is>
      </c>
      <c r="I83" s="3" t="inlineStr">
        <is>
          <t>Common</t>
        </is>
      </c>
      <c r="J83" s="3" t="inlineStr">
        <is>
          <t>Common</t>
        </is>
      </c>
      <c r="K83" s="5">
        <f>IF(NOT(OR(H83="Unique",I83="Unique",J83="Unique")),VLOOKUP(G83,'Role Families'!B:E,2,FALSE),IF(IF(VLOOKUP(G83,'Role Families'!B:E,2,FALSE)="Model",H83,IF(VLOOKUP(G83,'Role Families'!B:E,2,FALSE)="Industry",I83,J83))="Unique",VLOOKUP(G83,'Role Families'!B:E,2,FALSE),IF(IF(VLOOKUP(G83,'Role Families'!B:E,3,FALSE)="Model",H83,IF(VLOOKUP(G83,'Role Families'!B:E,3,FALSE)="Industry",I83,J83))="Unique",VLOOKUP(G83,'Role Families'!B:E,3,FALSE),VLOOKUP(G83,'Role Families'!B:E,4,FALSE))))</f>
        <v/>
      </c>
      <c r="L83" s="2">
        <f>IF(NOT(OR(H83="Unique",I83="Unique",J83="Unique")),VLOOKUP(G83,'Role Families'!B:E,3,FALSE),IF(IF(VLOOKUP(G83,'Role Families'!B:E,2,FALSE)="Model",H83,IF(VLOOKUP(G83,'Role Families'!B:E,2,FALSE)="Industry",I83,J83))="Unique",VLOOKUP(G83,'Role Families'!B:E,3,FALSE),VLOOKUP(G83,'Role Families'!B:E,2,FALSE)))</f>
        <v/>
      </c>
      <c r="M83" s="2">
        <f>IF(NOT(OR(H83="Unique",I83="Unique",J83="Unique")),VLOOKUP(G83,'Role Families'!B:E,4,FALSE),IF(IF(VLOOKUP(G83,'Role Families'!B:E,2,FALSE)="Model",H83,IF(VLOOKUP(G83,'Role Families'!B:E,2,FALSE)="Industry",I83,J83))="Unique",VLOOKUP(G83,'Role Families'!B:E,4,FALSE),IF(IF(VLOOKUP(G83,'Role Families'!B:E,3,FALSE)="Model",H83,IF(VLOOKUP(G83,'Role Families'!B:E,3,FALSE)="Industry",I83,J83))="Unique",VLOOKUP(G83,'Role Families'!B:E,4,FALSE),VLOOKUP(G83,'Role Families'!B:E,3,FALSE))))</f>
        <v/>
      </c>
    </row>
    <row r="84">
      <c r="A84" s="2" t="n">
        <v>83</v>
      </c>
      <c r="B84" s="2" t="inlineStr">
        <is>
          <t>One Medical</t>
        </is>
      </c>
      <c r="C84" s="2" t="inlineStr">
        <is>
          <t>Healthcare / Primary Care</t>
        </is>
      </c>
      <c r="D84" s="2" t="inlineStr">
        <is>
          <t>Membership</t>
        </is>
      </c>
      <c r="E84" s="2" t="inlineStr">
        <is>
          <t>Multi-unit Four-wall + Telehealth</t>
        </is>
      </c>
      <c r="F84" s="2" t="inlineStr">
        <is>
          <t>CMO</t>
        </is>
      </c>
      <c r="G84" s="2" t="inlineStr">
        <is>
          <t>Marketing / Brand</t>
        </is>
      </c>
      <c r="H84" s="3" t="inlineStr">
        <is>
          <t>Common</t>
        </is>
      </c>
      <c r="I84" s="3" t="inlineStr">
        <is>
          <t>Common</t>
        </is>
      </c>
      <c r="J84" s="3" t="inlineStr">
        <is>
          <t>Common</t>
        </is>
      </c>
      <c r="K84" s="5">
        <f>IF(NOT(OR(H84="Unique",I84="Unique",J84="Unique")),VLOOKUP(G84,'Role Families'!B:E,2,FALSE),IF(IF(VLOOKUP(G84,'Role Families'!B:E,2,FALSE)="Model",H84,IF(VLOOKUP(G84,'Role Families'!B:E,2,FALSE)="Industry",I84,J84))="Unique",VLOOKUP(G84,'Role Families'!B:E,2,FALSE),IF(IF(VLOOKUP(G84,'Role Families'!B:E,3,FALSE)="Model",H84,IF(VLOOKUP(G84,'Role Families'!B:E,3,FALSE)="Industry",I84,J84))="Unique",VLOOKUP(G84,'Role Families'!B:E,3,FALSE),VLOOKUP(G84,'Role Families'!B:E,4,FALSE))))</f>
        <v/>
      </c>
      <c r="L84" s="2">
        <f>IF(NOT(OR(H84="Unique",I84="Unique",J84="Unique")),VLOOKUP(G84,'Role Families'!B:E,3,FALSE),IF(IF(VLOOKUP(G84,'Role Families'!B:E,2,FALSE)="Model",H84,IF(VLOOKUP(G84,'Role Families'!B:E,2,FALSE)="Industry",I84,J84))="Unique",VLOOKUP(G84,'Role Families'!B:E,3,FALSE),VLOOKUP(G84,'Role Families'!B:E,2,FALSE)))</f>
        <v/>
      </c>
      <c r="M84" s="2">
        <f>IF(NOT(OR(H84="Unique",I84="Unique",J84="Unique")),VLOOKUP(G84,'Role Families'!B:E,4,FALSE),IF(IF(VLOOKUP(G84,'Role Families'!B:E,2,FALSE)="Model",H84,IF(VLOOKUP(G84,'Role Families'!B:E,2,FALSE)="Industry",I84,J84))="Unique",VLOOKUP(G84,'Role Families'!B:E,4,FALSE),IF(IF(VLOOKUP(G84,'Role Families'!B:E,3,FALSE)="Model",H84,IF(VLOOKUP(G84,'Role Families'!B:E,3,FALSE)="Industry",I84,J84))="Unique",VLOOKUP(G84,'Role Families'!B:E,4,FALSE),VLOOKUP(G84,'Role Families'!B:E,3,FALSE))))</f>
        <v/>
      </c>
    </row>
    <row r="85">
      <c r="A85" s="2" t="n">
        <v>84</v>
      </c>
      <c r="B85" s="2" t="inlineStr">
        <is>
          <t>Airbnb</t>
        </is>
      </c>
      <c r="C85" s="2" t="inlineStr">
        <is>
          <t>Travel &amp; Hospitality</t>
        </is>
      </c>
      <c r="D85" s="2" t="inlineStr">
        <is>
          <t>Marketplace</t>
        </is>
      </c>
      <c r="E85" s="2" t="inlineStr">
        <is>
          <t>Digital Platform</t>
        </is>
      </c>
      <c r="F85" s="2" t="inlineStr">
        <is>
          <t>General Counsel</t>
        </is>
      </c>
      <c r="G85" s="2" t="inlineStr">
        <is>
          <t>Legal / Compliance</t>
        </is>
      </c>
      <c r="H85" s="3" t="inlineStr">
        <is>
          <t>Common</t>
        </is>
      </c>
      <c r="I85" s="3" t="inlineStr">
        <is>
          <t>Common</t>
        </is>
      </c>
      <c r="J85" s="3" t="inlineStr">
        <is>
          <t>Common</t>
        </is>
      </c>
      <c r="K85" s="5">
        <f>IF(NOT(OR(H85="Unique",I85="Unique",J85="Unique")),VLOOKUP(G85,'Role Families'!B:E,2,FALSE),IF(IF(VLOOKUP(G85,'Role Families'!B:E,2,FALSE)="Model",H85,IF(VLOOKUP(G85,'Role Families'!B:E,2,FALSE)="Industry",I85,J85))="Unique",VLOOKUP(G85,'Role Families'!B:E,2,FALSE),IF(IF(VLOOKUP(G85,'Role Families'!B:E,3,FALSE)="Model",H85,IF(VLOOKUP(G85,'Role Families'!B:E,3,FALSE)="Industry",I85,J85))="Unique",VLOOKUP(G85,'Role Families'!B:E,3,FALSE),VLOOKUP(G85,'Role Families'!B:E,4,FALSE))))</f>
        <v/>
      </c>
      <c r="L85" s="2">
        <f>IF(NOT(OR(H85="Unique",I85="Unique",J85="Unique")),VLOOKUP(G85,'Role Families'!B:E,3,FALSE),IF(IF(VLOOKUP(G85,'Role Families'!B:E,2,FALSE)="Model",H85,IF(VLOOKUP(G85,'Role Families'!B:E,2,FALSE)="Industry",I85,J85))="Unique",VLOOKUP(G85,'Role Families'!B:E,3,FALSE),VLOOKUP(G85,'Role Families'!B:E,2,FALSE)))</f>
        <v/>
      </c>
      <c r="M85" s="2">
        <f>IF(NOT(OR(H85="Unique",I85="Unique",J85="Unique")),VLOOKUP(G85,'Role Families'!B:E,4,FALSE),IF(IF(VLOOKUP(G85,'Role Families'!B:E,2,FALSE)="Model",H85,IF(VLOOKUP(G85,'Role Families'!B:E,2,FALSE)="Industry",I85,J85))="Unique",VLOOKUP(G85,'Role Families'!B:E,4,FALSE),IF(IF(VLOOKUP(G85,'Role Families'!B:E,3,FALSE)="Model",H85,IF(VLOOKUP(G85,'Role Families'!B:E,3,FALSE)="Industry",I85,J85))="Unique",VLOOKUP(G85,'Role Families'!B:E,4,FALSE),VLOOKUP(G85,'Role Families'!B:E,3,FALSE))))</f>
        <v/>
      </c>
    </row>
    <row r="86">
      <c r="A86" s="2" t="n">
        <v>85</v>
      </c>
      <c r="B86" s="2" t="inlineStr">
        <is>
          <t>Airbnb</t>
        </is>
      </c>
      <c r="C86" s="2" t="inlineStr">
        <is>
          <t>Travel &amp; Hospitality</t>
        </is>
      </c>
      <c r="D86" s="2" t="inlineStr">
        <is>
          <t>Marketplace</t>
        </is>
      </c>
      <c r="E86" s="2" t="inlineStr">
        <is>
          <t>Digital Platform</t>
        </is>
      </c>
      <c r="F86" s="2" t="inlineStr">
        <is>
          <t>VP Data</t>
        </is>
      </c>
      <c r="G86" s="2" t="inlineStr">
        <is>
          <t>Data / Analytics</t>
        </is>
      </c>
      <c r="H86" s="3" t="inlineStr">
        <is>
          <t>Common</t>
        </is>
      </c>
      <c r="I86" s="3" t="inlineStr">
        <is>
          <t>Common</t>
        </is>
      </c>
      <c r="J86" s="3" t="inlineStr">
        <is>
          <t>Common</t>
        </is>
      </c>
      <c r="K86" s="5">
        <f>IF(NOT(OR(H86="Unique",I86="Unique",J86="Unique")),VLOOKUP(G86,'Role Families'!B:E,2,FALSE),IF(IF(VLOOKUP(G86,'Role Families'!B:E,2,FALSE)="Model",H86,IF(VLOOKUP(G86,'Role Families'!B:E,2,FALSE)="Industry",I86,J86))="Unique",VLOOKUP(G86,'Role Families'!B:E,2,FALSE),IF(IF(VLOOKUP(G86,'Role Families'!B:E,3,FALSE)="Model",H86,IF(VLOOKUP(G86,'Role Families'!B:E,3,FALSE)="Industry",I86,J86))="Unique",VLOOKUP(G86,'Role Families'!B:E,3,FALSE),VLOOKUP(G86,'Role Families'!B:E,4,FALSE))))</f>
        <v/>
      </c>
      <c r="L86" s="2">
        <f>IF(NOT(OR(H86="Unique",I86="Unique",J86="Unique")),VLOOKUP(G86,'Role Families'!B:E,3,FALSE),IF(IF(VLOOKUP(G86,'Role Families'!B:E,2,FALSE)="Model",H86,IF(VLOOKUP(G86,'Role Families'!B:E,2,FALSE)="Industry",I86,J86))="Unique",VLOOKUP(G86,'Role Families'!B:E,3,FALSE),VLOOKUP(G86,'Role Families'!B:E,2,FALSE)))</f>
        <v/>
      </c>
      <c r="M86" s="2">
        <f>IF(NOT(OR(H86="Unique",I86="Unique",J86="Unique")),VLOOKUP(G86,'Role Families'!B:E,4,FALSE),IF(IF(VLOOKUP(G86,'Role Families'!B:E,2,FALSE)="Model",H86,IF(VLOOKUP(G86,'Role Families'!B:E,2,FALSE)="Industry",I86,J86))="Unique",VLOOKUP(G86,'Role Families'!B:E,4,FALSE),IF(IF(VLOOKUP(G86,'Role Families'!B:E,3,FALSE)="Model",H86,IF(VLOOKUP(G86,'Role Families'!B:E,3,FALSE)="Industry",I86,J86))="Unique",VLOOKUP(G86,'Role Families'!B:E,4,FALSE),VLOOKUP(G86,'Role Families'!B:E,3,FALSE))))</f>
        <v/>
      </c>
    </row>
    <row r="87">
      <c r="A87" s="2" t="n">
        <v>86</v>
      </c>
      <c r="B87" s="2" t="inlineStr">
        <is>
          <t>Stripe</t>
        </is>
      </c>
      <c r="C87" s="2" t="inlineStr">
        <is>
          <t>Payments / Fintech</t>
        </is>
      </c>
      <c r="D87" s="2" t="inlineStr">
        <is>
          <t>SaaS + Transaction Fees</t>
        </is>
      </c>
      <c r="E87" s="2" t="inlineStr">
        <is>
          <t>Digital Platform (API)</t>
        </is>
      </c>
      <c r="F87" s="2" t="inlineStr">
        <is>
          <t>VP Engineering</t>
        </is>
      </c>
      <c r="G87" s="2" t="inlineStr">
        <is>
          <t>Technology / Engineering</t>
        </is>
      </c>
      <c r="H87" s="3" t="inlineStr">
        <is>
          <t>Common</t>
        </is>
      </c>
      <c r="I87" s="3" t="inlineStr">
        <is>
          <t>Common</t>
        </is>
      </c>
      <c r="J87" s="3" t="inlineStr">
        <is>
          <t>Common</t>
        </is>
      </c>
      <c r="K87" s="5">
        <f>IF(NOT(OR(H87="Unique",I87="Unique",J87="Unique")),VLOOKUP(G87,'Role Families'!B:E,2,FALSE),IF(IF(VLOOKUP(G87,'Role Families'!B:E,2,FALSE)="Model",H87,IF(VLOOKUP(G87,'Role Families'!B:E,2,FALSE)="Industry",I87,J87))="Unique",VLOOKUP(G87,'Role Families'!B:E,2,FALSE),IF(IF(VLOOKUP(G87,'Role Families'!B:E,3,FALSE)="Model",H87,IF(VLOOKUP(G87,'Role Families'!B:E,3,FALSE)="Industry",I87,J87))="Unique",VLOOKUP(G87,'Role Families'!B:E,3,FALSE),VLOOKUP(G87,'Role Families'!B:E,4,FALSE))))</f>
        <v/>
      </c>
      <c r="L87" s="2">
        <f>IF(NOT(OR(H87="Unique",I87="Unique",J87="Unique")),VLOOKUP(G87,'Role Families'!B:E,3,FALSE),IF(IF(VLOOKUP(G87,'Role Families'!B:E,2,FALSE)="Model",H87,IF(VLOOKUP(G87,'Role Families'!B:E,2,FALSE)="Industry",I87,J87))="Unique",VLOOKUP(G87,'Role Families'!B:E,3,FALSE),VLOOKUP(G87,'Role Families'!B:E,2,FALSE)))</f>
        <v/>
      </c>
      <c r="M87" s="2">
        <f>IF(NOT(OR(H87="Unique",I87="Unique",J87="Unique")),VLOOKUP(G87,'Role Families'!B:E,4,FALSE),IF(IF(VLOOKUP(G87,'Role Families'!B:E,2,FALSE)="Model",H87,IF(VLOOKUP(G87,'Role Families'!B:E,2,FALSE)="Industry",I87,J87))="Unique",VLOOKUP(G87,'Role Families'!B:E,4,FALSE),IF(IF(VLOOKUP(G87,'Role Families'!B:E,3,FALSE)="Model",H87,IF(VLOOKUP(G87,'Role Families'!B:E,3,FALSE)="Industry",I87,J87))="Unique",VLOOKUP(G87,'Role Families'!B:E,4,FALSE),VLOOKUP(G87,'Role Families'!B:E,3,FALSE))))</f>
        <v/>
      </c>
    </row>
    <row r="88">
      <c r="A88" s="2" t="n">
        <v>87</v>
      </c>
      <c r="B88" s="2" t="inlineStr">
        <is>
          <t>Flexport</t>
        </is>
      </c>
      <c r="C88" s="2" t="inlineStr">
        <is>
          <t>Logistics / Freight</t>
        </is>
      </c>
      <c r="D88" s="2" t="inlineStr">
        <is>
          <t>Brokerage + SaaS</t>
        </is>
      </c>
      <c r="E88" s="2" t="inlineStr">
        <is>
          <t>Digital Platform</t>
        </is>
      </c>
      <c r="F88" s="2" t="inlineStr">
        <is>
          <t>VP Supply Chain</t>
        </is>
      </c>
      <c r="G88" s="2" t="inlineStr">
        <is>
          <t>Supply Chain / Logistics</t>
        </is>
      </c>
      <c r="H88" s="3" t="inlineStr">
        <is>
          <t>Common</t>
        </is>
      </c>
      <c r="I88" s="3" t="inlineStr">
        <is>
          <t>Common</t>
        </is>
      </c>
      <c r="J88" s="3" t="inlineStr">
        <is>
          <t>Common</t>
        </is>
      </c>
      <c r="K88" s="5">
        <f>IF(NOT(OR(H88="Unique",I88="Unique",J88="Unique")),VLOOKUP(G88,'Role Families'!B:E,2,FALSE),IF(IF(VLOOKUP(G88,'Role Families'!B:E,2,FALSE)="Model",H88,IF(VLOOKUP(G88,'Role Families'!B:E,2,FALSE)="Industry",I88,J88))="Unique",VLOOKUP(G88,'Role Families'!B:E,2,FALSE),IF(IF(VLOOKUP(G88,'Role Families'!B:E,3,FALSE)="Model",H88,IF(VLOOKUP(G88,'Role Families'!B:E,3,FALSE)="Industry",I88,J88))="Unique",VLOOKUP(G88,'Role Families'!B:E,3,FALSE),VLOOKUP(G88,'Role Families'!B:E,4,FALSE))))</f>
        <v/>
      </c>
      <c r="L88" s="2">
        <f>IF(NOT(OR(H88="Unique",I88="Unique",J88="Unique")),VLOOKUP(G88,'Role Families'!B:E,3,FALSE),IF(IF(VLOOKUP(G88,'Role Families'!B:E,2,FALSE)="Model",H88,IF(VLOOKUP(G88,'Role Families'!B:E,2,FALSE)="Industry",I88,J88))="Unique",VLOOKUP(G88,'Role Families'!B:E,3,FALSE),VLOOKUP(G88,'Role Families'!B:E,2,FALSE)))</f>
        <v/>
      </c>
      <c r="M88" s="2">
        <f>IF(NOT(OR(H88="Unique",I88="Unique",J88="Unique")),VLOOKUP(G88,'Role Families'!B:E,4,FALSE),IF(IF(VLOOKUP(G88,'Role Families'!B:E,2,FALSE)="Model",H88,IF(VLOOKUP(G88,'Role Families'!B:E,2,FALSE)="Industry",I88,J88))="Unique",VLOOKUP(G88,'Role Families'!B:E,4,FALSE),IF(IF(VLOOKUP(G88,'Role Families'!B:E,3,FALSE)="Model",H88,IF(VLOOKUP(G88,'Role Families'!B:E,3,FALSE)="Industry",I88,J88))="Unique",VLOOKUP(G88,'Role Families'!B:E,4,FALSE),VLOOKUP(G88,'Role Families'!B:E,3,FALSE))))</f>
        <v/>
      </c>
    </row>
    <row r="89">
      <c r="A89" s="2" t="n">
        <v>88</v>
      </c>
      <c r="B89" s="2" t="inlineStr">
        <is>
          <t>HomeServe</t>
        </is>
      </c>
      <c r="C89" s="2" t="inlineStr">
        <is>
          <t>Home Services / Warranty</t>
        </is>
      </c>
      <c r="D89" s="2" t="inlineStr">
        <is>
          <t>Subscription (Service)</t>
        </is>
      </c>
      <c r="E89" s="2" t="inlineStr">
        <is>
          <t>B2C Field Services</t>
        </is>
      </c>
      <c r="F89" s="2" t="inlineStr">
        <is>
          <t>CMO</t>
        </is>
      </c>
      <c r="G89" s="2" t="inlineStr">
        <is>
          <t>Marketing / Brand</t>
        </is>
      </c>
      <c r="H89" s="3" t="inlineStr">
        <is>
          <t>Common</t>
        </is>
      </c>
      <c r="I89" s="3" t="inlineStr">
        <is>
          <t>Common</t>
        </is>
      </c>
      <c r="J89" s="3" t="inlineStr">
        <is>
          <t>Common</t>
        </is>
      </c>
      <c r="K89" s="5">
        <f>IF(NOT(OR(H89="Unique",I89="Unique",J89="Unique")),VLOOKUP(G89,'Role Families'!B:E,2,FALSE),IF(IF(VLOOKUP(G89,'Role Families'!B:E,2,FALSE)="Model",H89,IF(VLOOKUP(G89,'Role Families'!B:E,2,FALSE)="Industry",I89,J89))="Unique",VLOOKUP(G89,'Role Families'!B:E,2,FALSE),IF(IF(VLOOKUP(G89,'Role Families'!B:E,3,FALSE)="Model",H89,IF(VLOOKUP(G89,'Role Families'!B:E,3,FALSE)="Industry",I89,J89))="Unique",VLOOKUP(G89,'Role Families'!B:E,3,FALSE),VLOOKUP(G89,'Role Families'!B:E,4,FALSE))))</f>
        <v/>
      </c>
      <c r="L89" s="2">
        <f>IF(NOT(OR(H89="Unique",I89="Unique",J89="Unique")),VLOOKUP(G89,'Role Families'!B:E,3,FALSE),IF(IF(VLOOKUP(G89,'Role Families'!B:E,2,FALSE)="Model",H89,IF(VLOOKUP(G89,'Role Families'!B:E,2,FALSE)="Industry",I89,J89))="Unique",VLOOKUP(G89,'Role Families'!B:E,3,FALSE),VLOOKUP(G89,'Role Families'!B:E,2,FALSE)))</f>
        <v/>
      </c>
      <c r="M89" s="2">
        <f>IF(NOT(OR(H89="Unique",I89="Unique",J89="Unique")),VLOOKUP(G89,'Role Families'!B:E,4,FALSE),IF(IF(VLOOKUP(G89,'Role Families'!B:E,2,FALSE)="Model",H89,IF(VLOOKUP(G89,'Role Families'!B:E,2,FALSE)="Industry",I89,J89))="Unique",VLOOKUP(G89,'Role Families'!B:E,4,FALSE),IF(IF(VLOOKUP(G89,'Role Families'!B:E,3,FALSE)="Model",H89,IF(VLOOKUP(G89,'Role Families'!B:E,3,FALSE)="Industry",I89,J89))="Unique",VLOOKUP(G89,'Role Families'!B:E,4,FALSE),VLOOKUP(G89,'Role Families'!B:E,3,FALSE))))</f>
        <v/>
      </c>
    </row>
    <row r="90">
      <c r="A90" s="2" t="n">
        <v>89</v>
      </c>
      <c r="B90" s="2" t="inlineStr">
        <is>
          <t>Lemonade</t>
        </is>
      </c>
      <c r="C90" s="2" t="inlineStr">
        <is>
          <t>Insurance / InsurTech</t>
        </is>
      </c>
      <c r="D90" s="2" t="inlineStr">
        <is>
          <t>Subscription (Premium)</t>
        </is>
      </c>
      <c r="E90" s="2" t="inlineStr">
        <is>
          <t>Digital Platform (Mobile)</t>
        </is>
      </c>
      <c r="F90" s="2" t="inlineStr">
        <is>
          <t>CFO</t>
        </is>
      </c>
      <c r="G90" s="2" t="inlineStr">
        <is>
          <t>Finance / Accounting</t>
        </is>
      </c>
      <c r="H90" s="3" t="inlineStr">
        <is>
          <t>Common</t>
        </is>
      </c>
      <c r="I90" s="3" t="inlineStr">
        <is>
          <t>Common</t>
        </is>
      </c>
      <c r="J90" s="3" t="inlineStr">
        <is>
          <t>Common</t>
        </is>
      </c>
      <c r="K90" s="5">
        <f>IF(NOT(OR(H90="Unique",I90="Unique",J90="Unique")),VLOOKUP(G90,'Role Families'!B:E,2,FALSE),IF(IF(VLOOKUP(G90,'Role Families'!B:E,2,FALSE)="Model",H90,IF(VLOOKUP(G90,'Role Families'!B:E,2,FALSE)="Industry",I90,J90))="Unique",VLOOKUP(G90,'Role Families'!B:E,2,FALSE),IF(IF(VLOOKUP(G90,'Role Families'!B:E,3,FALSE)="Model",H90,IF(VLOOKUP(G90,'Role Families'!B:E,3,FALSE)="Industry",I90,J90))="Unique",VLOOKUP(G90,'Role Families'!B:E,3,FALSE),VLOOKUP(G90,'Role Families'!B:E,4,FALSE))))</f>
        <v/>
      </c>
      <c r="L90" s="2">
        <f>IF(NOT(OR(H90="Unique",I90="Unique",J90="Unique")),VLOOKUP(G90,'Role Families'!B:E,3,FALSE),IF(IF(VLOOKUP(G90,'Role Families'!B:E,2,FALSE)="Model",H90,IF(VLOOKUP(G90,'Role Families'!B:E,2,FALSE)="Industry",I90,J90))="Unique",VLOOKUP(G90,'Role Families'!B:E,3,FALSE),VLOOKUP(G90,'Role Families'!B:E,2,FALSE)))</f>
        <v/>
      </c>
      <c r="M90" s="2">
        <f>IF(NOT(OR(H90="Unique",I90="Unique",J90="Unique")),VLOOKUP(G90,'Role Families'!B:E,4,FALSE),IF(IF(VLOOKUP(G90,'Role Families'!B:E,2,FALSE)="Model",H90,IF(VLOOKUP(G90,'Role Families'!B:E,2,FALSE)="Industry",I90,J90))="Unique",VLOOKUP(G90,'Role Families'!B:E,4,FALSE),IF(IF(VLOOKUP(G90,'Role Families'!B:E,3,FALSE)="Model",H90,IF(VLOOKUP(G90,'Role Families'!B:E,3,FALSE)="Industry",I90,J90))="Unique",VLOOKUP(G90,'Role Families'!B:E,4,FALSE),VLOOKUP(G90,'Role Families'!B:E,3,FALSE))))</f>
        <v/>
      </c>
    </row>
    <row r="91">
      <c r="A91" s="2" t="n">
        <v>90</v>
      </c>
      <c r="B91" s="2" t="inlineStr">
        <is>
          <t>Lemonade</t>
        </is>
      </c>
      <c r="C91" s="2" t="inlineStr">
        <is>
          <t>Insurance / InsurTech</t>
        </is>
      </c>
      <c r="D91" s="2" t="inlineStr">
        <is>
          <t>Subscription (Premium)</t>
        </is>
      </c>
      <c r="E91" s="2" t="inlineStr">
        <is>
          <t>Digital Platform (Mobile)</t>
        </is>
      </c>
      <c r="F91" s="2" t="inlineStr">
        <is>
          <t>VP Product</t>
        </is>
      </c>
      <c r="G91" s="2" t="inlineStr">
        <is>
          <t>Product</t>
        </is>
      </c>
      <c r="H91" s="3" t="inlineStr">
        <is>
          <t>Common</t>
        </is>
      </c>
      <c r="I91" s="3" t="inlineStr">
        <is>
          <t>Common</t>
        </is>
      </c>
      <c r="J91" s="3" t="inlineStr">
        <is>
          <t>Common</t>
        </is>
      </c>
      <c r="K91" s="5">
        <f>IF(NOT(OR(H91="Unique",I91="Unique",J91="Unique")),VLOOKUP(G91,'Role Families'!B:E,2,FALSE),IF(IF(VLOOKUP(G91,'Role Families'!B:E,2,FALSE)="Model",H91,IF(VLOOKUP(G91,'Role Families'!B:E,2,FALSE)="Industry",I91,J91))="Unique",VLOOKUP(G91,'Role Families'!B:E,2,FALSE),IF(IF(VLOOKUP(G91,'Role Families'!B:E,3,FALSE)="Model",H91,IF(VLOOKUP(G91,'Role Families'!B:E,3,FALSE)="Industry",I91,J91))="Unique",VLOOKUP(G91,'Role Families'!B:E,3,FALSE),VLOOKUP(G91,'Role Families'!B:E,4,FALSE))))</f>
        <v/>
      </c>
      <c r="L91" s="2">
        <f>IF(NOT(OR(H91="Unique",I91="Unique",J91="Unique")),VLOOKUP(G91,'Role Families'!B:E,3,FALSE),IF(IF(VLOOKUP(G91,'Role Families'!B:E,2,FALSE)="Model",H91,IF(VLOOKUP(G91,'Role Families'!B:E,2,FALSE)="Industry",I91,J91))="Unique",VLOOKUP(G91,'Role Families'!B:E,3,FALSE),VLOOKUP(G91,'Role Families'!B:E,2,FALSE)))</f>
        <v/>
      </c>
      <c r="M91" s="2">
        <f>IF(NOT(OR(H91="Unique",I91="Unique",J91="Unique")),VLOOKUP(G91,'Role Families'!B:E,4,FALSE),IF(IF(VLOOKUP(G91,'Role Families'!B:E,2,FALSE)="Model",H91,IF(VLOOKUP(G91,'Role Families'!B:E,2,FALSE)="Industry",I91,J91))="Unique",VLOOKUP(G91,'Role Families'!B:E,4,FALSE),IF(IF(VLOOKUP(G91,'Role Families'!B:E,3,FALSE)="Model",H91,IF(VLOOKUP(G91,'Role Families'!B:E,3,FALSE)="Industry",I91,J91))="Unique",VLOOKUP(G91,'Role Families'!B:E,4,FALSE),VLOOKUP(G91,'Role Families'!B:E,3,FALSE))))</f>
        <v/>
      </c>
    </row>
    <row r="92">
      <c r="A92" s="2" t="n">
        <v>91</v>
      </c>
      <c r="B92" s="2" t="inlineStr">
        <is>
          <t>Oscar Health</t>
        </is>
      </c>
      <c r="C92" s="2" t="inlineStr">
        <is>
          <t>Health Insurance</t>
        </is>
      </c>
      <c r="D92" s="2" t="inlineStr">
        <is>
          <t>Premium-based (Risk)</t>
        </is>
      </c>
      <c r="E92" s="2" t="inlineStr">
        <is>
          <t>Digital Platform + Network</t>
        </is>
      </c>
      <c r="F92" s="2" t="inlineStr">
        <is>
          <t>General Counsel</t>
        </is>
      </c>
      <c r="G92" s="2" t="inlineStr">
        <is>
          <t>Legal / Compliance</t>
        </is>
      </c>
      <c r="H92" s="3" t="inlineStr">
        <is>
          <t>Common</t>
        </is>
      </c>
      <c r="I92" s="3" t="inlineStr">
        <is>
          <t>Common</t>
        </is>
      </c>
      <c r="J92" s="3" t="inlineStr">
        <is>
          <t>Common</t>
        </is>
      </c>
      <c r="K92" s="5">
        <f>IF(NOT(OR(H92="Unique",I92="Unique",J92="Unique")),VLOOKUP(G92,'Role Families'!B:E,2,FALSE),IF(IF(VLOOKUP(G92,'Role Families'!B:E,2,FALSE)="Model",H92,IF(VLOOKUP(G92,'Role Families'!B:E,2,FALSE)="Industry",I92,J92))="Unique",VLOOKUP(G92,'Role Families'!B:E,2,FALSE),IF(IF(VLOOKUP(G92,'Role Families'!B:E,3,FALSE)="Model",H92,IF(VLOOKUP(G92,'Role Families'!B:E,3,FALSE)="Industry",I92,J92))="Unique",VLOOKUP(G92,'Role Families'!B:E,3,FALSE),VLOOKUP(G92,'Role Families'!B:E,4,FALSE))))</f>
        <v/>
      </c>
      <c r="L92" s="2">
        <f>IF(NOT(OR(H92="Unique",I92="Unique",J92="Unique")),VLOOKUP(G92,'Role Families'!B:E,3,FALSE),IF(IF(VLOOKUP(G92,'Role Families'!B:E,2,FALSE)="Model",H92,IF(VLOOKUP(G92,'Role Families'!B:E,2,FALSE)="Industry",I92,J92))="Unique",VLOOKUP(G92,'Role Families'!B:E,3,FALSE),VLOOKUP(G92,'Role Families'!B:E,2,FALSE)))</f>
        <v/>
      </c>
      <c r="M92" s="2">
        <f>IF(NOT(OR(H92="Unique",I92="Unique",J92="Unique")),VLOOKUP(G92,'Role Families'!B:E,4,FALSE),IF(IF(VLOOKUP(G92,'Role Families'!B:E,2,FALSE)="Model",H92,IF(VLOOKUP(G92,'Role Families'!B:E,2,FALSE)="Industry",I92,J92))="Unique",VLOOKUP(G92,'Role Families'!B:E,4,FALSE),IF(IF(VLOOKUP(G92,'Role Families'!B:E,3,FALSE)="Model",H92,IF(VLOOKUP(G92,'Role Families'!B:E,3,FALSE)="Industry",I92,J92))="Unique",VLOOKUP(G92,'Role Families'!B:E,4,FALSE),VLOOKUP(G92,'Role Families'!B:E,3,FALSE))))</f>
        <v/>
      </c>
    </row>
    <row r="93">
      <c r="A93" s="2" t="n">
        <v>92</v>
      </c>
      <c r="B93" s="2" t="inlineStr">
        <is>
          <t>Coursera</t>
        </is>
      </c>
      <c r="C93" s="2" t="inlineStr">
        <is>
          <t>Education / EdTech</t>
        </is>
      </c>
      <c r="D93" s="2" t="inlineStr">
        <is>
          <t>Subscription + Marketplace</t>
        </is>
      </c>
      <c r="E93" s="2" t="inlineStr">
        <is>
          <t>Digital Platform</t>
        </is>
      </c>
      <c r="F93" s="2" t="inlineStr">
        <is>
          <t>CMO</t>
        </is>
      </c>
      <c r="G93" s="2" t="inlineStr">
        <is>
          <t>Marketing / Brand</t>
        </is>
      </c>
      <c r="H93" s="3" t="inlineStr">
        <is>
          <t>Common</t>
        </is>
      </c>
      <c r="I93" s="3" t="inlineStr">
        <is>
          <t>Common</t>
        </is>
      </c>
      <c r="J93" s="3" t="inlineStr">
        <is>
          <t>Common</t>
        </is>
      </c>
      <c r="K93" s="5">
        <f>IF(NOT(OR(H93="Unique",I93="Unique",J93="Unique")),VLOOKUP(G93,'Role Families'!B:E,2,FALSE),IF(IF(VLOOKUP(G93,'Role Families'!B:E,2,FALSE)="Model",H93,IF(VLOOKUP(G93,'Role Families'!B:E,2,FALSE)="Industry",I93,J93))="Unique",VLOOKUP(G93,'Role Families'!B:E,2,FALSE),IF(IF(VLOOKUP(G93,'Role Families'!B:E,3,FALSE)="Model",H93,IF(VLOOKUP(G93,'Role Families'!B:E,3,FALSE)="Industry",I93,J93))="Unique",VLOOKUP(G93,'Role Families'!B:E,3,FALSE),VLOOKUP(G93,'Role Families'!B:E,4,FALSE))))</f>
        <v/>
      </c>
      <c r="L93" s="2">
        <f>IF(NOT(OR(H93="Unique",I93="Unique",J93="Unique")),VLOOKUP(G93,'Role Families'!B:E,3,FALSE),IF(IF(VLOOKUP(G93,'Role Families'!B:E,2,FALSE)="Model",H93,IF(VLOOKUP(G93,'Role Families'!B:E,2,FALSE)="Industry",I93,J93))="Unique",VLOOKUP(G93,'Role Families'!B:E,3,FALSE),VLOOKUP(G93,'Role Families'!B:E,2,FALSE)))</f>
        <v/>
      </c>
      <c r="M93" s="2">
        <f>IF(NOT(OR(H93="Unique",I93="Unique",J93="Unique")),VLOOKUP(G93,'Role Families'!B:E,4,FALSE),IF(IF(VLOOKUP(G93,'Role Families'!B:E,2,FALSE)="Model",H93,IF(VLOOKUP(G93,'Role Families'!B:E,2,FALSE)="Industry",I93,J93))="Unique",VLOOKUP(G93,'Role Families'!B:E,4,FALSE),IF(IF(VLOOKUP(G93,'Role Families'!B:E,3,FALSE)="Model",H93,IF(VLOOKUP(G93,'Role Families'!B:E,3,FALSE)="Industry",I93,J93))="Unique",VLOOKUP(G93,'Role Families'!B:E,4,FALSE),VLOOKUP(G93,'Role Families'!B:E,3,FALSE))))</f>
        <v/>
      </c>
    </row>
    <row r="94">
      <c r="A94" s="2" t="n">
        <v>93</v>
      </c>
      <c r="B94" s="2" t="inlineStr">
        <is>
          <t>Coursera</t>
        </is>
      </c>
      <c r="C94" s="2" t="inlineStr">
        <is>
          <t>Education / EdTech</t>
        </is>
      </c>
      <c r="D94" s="2" t="inlineStr">
        <is>
          <t>Subscription + Marketplace</t>
        </is>
      </c>
      <c r="E94" s="2" t="inlineStr">
        <is>
          <t>Digital Platform</t>
        </is>
      </c>
      <c r="F94" s="2" t="inlineStr">
        <is>
          <t>VP Product</t>
        </is>
      </c>
      <c r="G94" s="2" t="inlineStr">
        <is>
          <t>Product</t>
        </is>
      </c>
      <c r="H94" s="3" t="inlineStr">
        <is>
          <t>Common</t>
        </is>
      </c>
      <c r="I94" s="3" t="inlineStr">
        <is>
          <t>Common</t>
        </is>
      </c>
      <c r="J94" s="3" t="inlineStr">
        <is>
          <t>Common</t>
        </is>
      </c>
      <c r="K94" s="5">
        <f>IF(NOT(OR(H94="Unique",I94="Unique",J94="Unique")),VLOOKUP(G94,'Role Families'!B:E,2,FALSE),IF(IF(VLOOKUP(G94,'Role Families'!B:E,2,FALSE)="Model",H94,IF(VLOOKUP(G94,'Role Families'!B:E,2,FALSE)="Industry",I94,J94))="Unique",VLOOKUP(G94,'Role Families'!B:E,2,FALSE),IF(IF(VLOOKUP(G94,'Role Families'!B:E,3,FALSE)="Model",H94,IF(VLOOKUP(G94,'Role Families'!B:E,3,FALSE)="Industry",I94,J94))="Unique",VLOOKUP(G94,'Role Families'!B:E,3,FALSE),VLOOKUP(G94,'Role Families'!B:E,4,FALSE))))</f>
        <v/>
      </c>
      <c r="L94" s="2">
        <f>IF(NOT(OR(H94="Unique",I94="Unique",J94="Unique")),VLOOKUP(G94,'Role Families'!B:E,3,FALSE),IF(IF(VLOOKUP(G94,'Role Families'!B:E,2,FALSE)="Model",H94,IF(VLOOKUP(G94,'Role Families'!B:E,2,FALSE)="Industry",I94,J94))="Unique",VLOOKUP(G94,'Role Families'!B:E,3,FALSE),VLOOKUP(G94,'Role Families'!B:E,2,FALSE)))</f>
        <v/>
      </c>
      <c r="M94" s="2">
        <f>IF(NOT(OR(H94="Unique",I94="Unique",J94="Unique")),VLOOKUP(G94,'Role Families'!B:E,4,FALSE),IF(IF(VLOOKUP(G94,'Role Families'!B:E,2,FALSE)="Model",H94,IF(VLOOKUP(G94,'Role Families'!B:E,2,FALSE)="Industry",I94,J94))="Unique",VLOOKUP(G94,'Role Families'!B:E,4,FALSE),IF(IF(VLOOKUP(G94,'Role Families'!B:E,3,FALSE)="Model",H94,IF(VLOOKUP(G94,'Role Families'!B:E,3,FALSE)="Industry",I94,J94))="Unique",VLOOKUP(G94,'Role Families'!B:E,4,FALSE),VLOOKUP(G94,'Role Families'!B:E,3,FALSE))))</f>
        <v/>
      </c>
    </row>
    <row r="95">
      <c r="A95" s="2" t="n">
        <v>94</v>
      </c>
      <c r="B95" s="2" t="inlineStr">
        <is>
          <t>Netflix</t>
        </is>
      </c>
      <c r="C95" s="2" t="inlineStr">
        <is>
          <t>Entertainment / Streaming</t>
        </is>
      </c>
      <c r="D95" s="2" t="inlineStr">
        <is>
          <t>Subscription</t>
        </is>
      </c>
      <c r="E95" s="2" t="inlineStr">
        <is>
          <t>Digital Platform (Streaming)</t>
        </is>
      </c>
      <c r="F95" s="2" t="inlineStr">
        <is>
          <t>VP Data</t>
        </is>
      </c>
      <c r="G95" s="2" t="inlineStr">
        <is>
          <t>Data / Analytics</t>
        </is>
      </c>
      <c r="H95" s="3" t="inlineStr">
        <is>
          <t>Common</t>
        </is>
      </c>
      <c r="I95" s="3" t="inlineStr">
        <is>
          <t>Common</t>
        </is>
      </c>
      <c r="J95" s="3" t="inlineStr">
        <is>
          <t>Common</t>
        </is>
      </c>
      <c r="K95" s="5">
        <f>IF(NOT(OR(H95="Unique",I95="Unique",J95="Unique")),VLOOKUP(G95,'Role Families'!B:E,2,FALSE),IF(IF(VLOOKUP(G95,'Role Families'!B:E,2,FALSE)="Model",H95,IF(VLOOKUP(G95,'Role Families'!B:E,2,FALSE)="Industry",I95,J95))="Unique",VLOOKUP(G95,'Role Families'!B:E,2,FALSE),IF(IF(VLOOKUP(G95,'Role Families'!B:E,3,FALSE)="Model",H95,IF(VLOOKUP(G95,'Role Families'!B:E,3,FALSE)="Industry",I95,J95))="Unique",VLOOKUP(G95,'Role Families'!B:E,3,FALSE),VLOOKUP(G95,'Role Families'!B:E,4,FALSE))))</f>
        <v/>
      </c>
      <c r="L95" s="2">
        <f>IF(NOT(OR(H95="Unique",I95="Unique",J95="Unique")),VLOOKUP(G95,'Role Families'!B:E,3,FALSE),IF(IF(VLOOKUP(G95,'Role Families'!B:E,2,FALSE)="Model",H95,IF(VLOOKUP(G95,'Role Families'!B:E,2,FALSE)="Industry",I95,J95))="Unique",VLOOKUP(G95,'Role Families'!B:E,3,FALSE),VLOOKUP(G95,'Role Families'!B:E,2,FALSE)))</f>
        <v/>
      </c>
      <c r="M95" s="2">
        <f>IF(NOT(OR(H95="Unique",I95="Unique",J95="Unique")),VLOOKUP(G95,'Role Families'!B:E,4,FALSE),IF(IF(VLOOKUP(G95,'Role Families'!B:E,2,FALSE)="Model",H95,IF(VLOOKUP(G95,'Role Families'!B:E,2,FALSE)="Industry",I95,J95))="Unique",VLOOKUP(G95,'Role Families'!B:E,4,FALSE),IF(IF(VLOOKUP(G95,'Role Families'!B:E,3,FALSE)="Model",H95,IF(VLOOKUP(G95,'Role Families'!B:E,3,FALSE)="Industry",I95,J95))="Unique",VLOOKUP(G95,'Role Families'!B:E,4,FALSE),VLOOKUP(G95,'Role Families'!B:E,3,FALSE))))</f>
        <v/>
      </c>
    </row>
    <row r="96">
      <c r="A96" s="2" t="n">
        <v>95</v>
      </c>
      <c r="B96" s="2" t="inlineStr">
        <is>
          <t>Spotify</t>
        </is>
      </c>
      <c r="C96" s="2" t="inlineStr">
        <is>
          <t>Music / Audio</t>
        </is>
      </c>
      <c r="D96" s="2" t="inlineStr">
        <is>
          <t>Subscription (Freemium)</t>
        </is>
      </c>
      <c r="E96" s="2" t="inlineStr">
        <is>
          <t>Digital Platform (Streaming)</t>
        </is>
      </c>
      <c r="F96" s="2" t="inlineStr">
        <is>
          <t>VP Sales</t>
        </is>
      </c>
      <c r="G96" s="2" t="inlineStr">
        <is>
          <t>Sales / Revenue</t>
        </is>
      </c>
      <c r="H96" s="3" t="inlineStr">
        <is>
          <t>Common</t>
        </is>
      </c>
      <c r="I96" s="3" t="inlineStr">
        <is>
          <t>Common</t>
        </is>
      </c>
      <c r="J96" s="3" t="inlineStr">
        <is>
          <t>Common</t>
        </is>
      </c>
      <c r="K96" s="5">
        <f>IF(NOT(OR(H96="Unique",I96="Unique",J96="Unique")),VLOOKUP(G96,'Role Families'!B:E,2,FALSE),IF(IF(VLOOKUP(G96,'Role Families'!B:E,2,FALSE)="Model",H96,IF(VLOOKUP(G96,'Role Families'!B:E,2,FALSE)="Industry",I96,J96))="Unique",VLOOKUP(G96,'Role Families'!B:E,2,FALSE),IF(IF(VLOOKUP(G96,'Role Families'!B:E,3,FALSE)="Model",H96,IF(VLOOKUP(G96,'Role Families'!B:E,3,FALSE)="Industry",I96,J96))="Unique",VLOOKUP(G96,'Role Families'!B:E,3,FALSE),VLOOKUP(G96,'Role Families'!B:E,4,FALSE))))</f>
        <v/>
      </c>
      <c r="L96" s="2">
        <f>IF(NOT(OR(H96="Unique",I96="Unique",J96="Unique")),VLOOKUP(G96,'Role Families'!B:E,3,FALSE),IF(IF(VLOOKUP(G96,'Role Families'!B:E,2,FALSE)="Model",H96,IF(VLOOKUP(G96,'Role Families'!B:E,2,FALSE)="Industry",I96,J96))="Unique",VLOOKUP(G96,'Role Families'!B:E,3,FALSE),VLOOKUP(G96,'Role Families'!B:E,2,FALSE)))</f>
        <v/>
      </c>
      <c r="M96" s="2">
        <f>IF(NOT(OR(H96="Unique",I96="Unique",J96="Unique")),VLOOKUP(G96,'Role Families'!B:E,4,FALSE),IF(IF(VLOOKUP(G96,'Role Families'!B:E,2,FALSE)="Model",H96,IF(VLOOKUP(G96,'Role Families'!B:E,2,FALSE)="Industry",I96,J96))="Unique",VLOOKUP(G96,'Role Families'!B:E,4,FALSE),IF(IF(VLOOKUP(G96,'Role Families'!B:E,3,FALSE)="Model",H96,IF(VLOOKUP(G96,'Role Families'!B:E,3,FALSE)="Industry",I96,J96))="Unique",VLOOKUP(G96,'Role Families'!B:E,4,FALSE),VLOOKUP(G96,'Role Families'!B:E,3,FALSE))))</f>
        <v/>
      </c>
    </row>
    <row r="97">
      <c r="A97" s="2" t="n">
        <v>96</v>
      </c>
      <c r="B97" s="2" t="inlineStr">
        <is>
          <t>Redfin</t>
        </is>
      </c>
      <c r="C97" s="2" t="inlineStr">
        <is>
          <t>Real Estate / PropTech</t>
        </is>
      </c>
      <c r="D97" s="2" t="inlineStr">
        <is>
          <t>Brokerage + SaaS</t>
        </is>
      </c>
      <c r="E97" s="2" t="inlineStr">
        <is>
          <t>Digital Platform + Physical</t>
        </is>
      </c>
      <c r="F97" s="2" t="inlineStr">
        <is>
          <t>CTO</t>
        </is>
      </c>
      <c r="G97" s="2" t="inlineStr">
        <is>
          <t>Technology / Engineering</t>
        </is>
      </c>
      <c r="H97" s="3" t="inlineStr">
        <is>
          <t>Common</t>
        </is>
      </c>
      <c r="I97" s="3" t="inlineStr">
        <is>
          <t>Common</t>
        </is>
      </c>
      <c r="J97" s="3" t="inlineStr">
        <is>
          <t>Common</t>
        </is>
      </c>
      <c r="K97" s="5">
        <f>IF(NOT(OR(H97="Unique",I97="Unique",J97="Unique")),VLOOKUP(G97,'Role Families'!B:E,2,FALSE),IF(IF(VLOOKUP(G97,'Role Families'!B:E,2,FALSE)="Model",H97,IF(VLOOKUP(G97,'Role Families'!B:E,2,FALSE)="Industry",I97,J97))="Unique",VLOOKUP(G97,'Role Families'!B:E,2,FALSE),IF(IF(VLOOKUP(G97,'Role Families'!B:E,3,FALSE)="Model",H97,IF(VLOOKUP(G97,'Role Families'!B:E,3,FALSE)="Industry",I97,J97))="Unique",VLOOKUP(G97,'Role Families'!B:E,3,FALSE),VLOOKUP(G97,'Role Families'!B:E,4,FALSE))))</f>
        <v/>
      </c>
      <c r="L97" s="2">
        <f>IF(NOT(OR(H97="Unique",I97="Unique",J97="Unique")),VLOOKUP(G97,'Role Families'!B:E,3,FALSE),IF(IF(VLOOKUP(G97,'Role Families'!B:E,2,FALSE)="Model",H97,IF(VLOOKUP(G97,'Role Families'!B:E,2,FALSE)="Industry",I97,J97))="Unique",VLOOKUP(G97,'Role Families'!B:E,3,FALSE),VLOOKUP(G97,'Role Families'!B:E,2,FALSE)))</f>
        <v/>
      </c>
      <c r="M97" s="2">
        <f>IF(NOT(OR(H97="Unique",I97="Unique",J97="Unique")),VLOOKUP(G97,'Role Families'!B:E,4,FALSE),IF(IF(VLOOKUP(G97,'Role Families'!B:E,2,FALSE)="Model",H97,IF(VLOOKUP(G97,'Role Families'!B:E,2,FALSE)="Industry",I97,J97))="Unique",VLOOKUP(G97,'Role Families'!B:E,4,FALSE),IF(IF(VLOOKUP(G97,'Role Families'!B:E,3,FALSE)="Model",H97,IF(VLOOKUP(G97,'Role Families'!B:E,3,FALSE)="Industry",I97,J97))="Unique",VLOOKUP(G97,'Role Families'!B:E,4,FALSE),VLOOKUP(G97,'Role Families'!B:E,3,FALSE))))</f>
        <v/>
      </c>
    </row>
    <row r="98">
      <c r="A98" s="2" t="n">
        <v>97</v>
      </c>
      <c r="B98" s="2" t="inlineStr">
        <is>
          <t>Opendoor</t>
        </is>
      </c>
      <c r="C98" s="2" t="inlineStr">
        <is>
          <t>Real Estate / PropTech</t>
        </is>
      </c>
      <c r="D98" s="2" t="inlineStr">
        <is>
          <t>iBuying (Inventory)</t>
        </is>
      </c>
      <c r="E98" s="2" t="inlineStr">
        <is>
          <t>Digital Platform</t>
        </is>
      </c>
      <c r="F98" s="2" t="inlineStr">
        <is>
          <t>CFO</t>
        </is>
      </c>
      <c r="G98" s="2" t="inlineStr">
        <is>
          <t>Finance / Accounting</t>
        </is>
      </c>
      <c r="H98" s="4" t="inlineStr">
        <is>
          <t>Unique</t>
        </is>
      </c>
      <c r="I98" s="3" t="inlineStr">
        <is>
          <t>Common</t>
        </is>
      </c>
      <c r="J98" s="3" t="inlineStr">
        <is>
          <t>Common</t>
        </is>
      </c>
      <c r="K98" s="5">
        <f>IF(NOT(OR(H98="Unique",I98="Unique",J98="Unique")),VLOOKUP(G98,'Role Families'!B:E,2,FALSE),IF(IF(VLOOKUP(G98,'Role Families'!B:E,2,FALSE)="Model",H98,IF(VLOOKUP(G98,'Role Families'!B:E,2,FALSE)="Industry",I98,J98))="Unique",VLOOKUP(G98,'Role Families'!B:E,2,FALSE),IF(IF(VLOOKUP(G98,'Role Families'!B:E,3,FALSE)="Model",H98,IF(VLOOKUP(G98,'Role Families'!B:E,3,FALSE)="Industry",I98,J98))="Unique",VLOOKUP(G98,'Role Families'!B:E,3,FALSE),VLOOKUP(G98,'Role Families'!B:E,4,FALSE))))</f>
        <v/>
      </c>
      <c r="L98" s="2">
        <f>IF(NOT(OR(H98="Unique",I98="Unique",J98="Unique")),VLOOKUP(G98,'Role Families'!B:E,3,FALSE),IF(IF(VLOOKUP(G98,'Role Families'!B:E,2,FALSE)="Model",H98,IF(VLOOKUP(G98,'Role Families'!B:E,2,FALSE)="Industry",I98,J98))="Unique",VLOOKUP(G98,'Role Families'!B:E,3,FALSE),VLOOKUP(G98,'Role Families'!B:E,2,FALSE)))</f>
        <v/>
      </c>
      <c r="M98" s="2">
        <f>IF(NOT(OR(H98="Unique",I98="Unique",J98="Unique")),VLOOKUP(G98,'Role Families'!B:E,4,FALSE),IF(IF(VLOOKUP(G98,'Role Families'!B:E,2,FALSE)="Model",H98,IF(VLOOKUP(G98,'Role Families'!B:E,2,FALSE)="Industry",I98,J98))="Unique",VLOOKUP(G98,'Role Families'!B:E,4,FALSE),IF(IF(VLOOKUP(G98,'Role Families'!B:E,3,FALSE)="Model",H98,IF(VLOOKUP(G98,'Role Families'!B:E,3,FALSE)="Industry",I98,J98))="Unique",VLOOKUP(G98,'Role Families'!B:E,4,FALSE),VLOOKUP(G98,'Role Families'!B:E,3,FALSE))))</f>
        <v/>
      </c>
    </row>
  </sheetData>
  <dataValidations count="2">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showDropDown="0" showInputMessage="0" showErrorMessage="0" allowBlank="0" type="list">
      <formula1>"Marketing / Brand,Finance / Accounting,Sales / Revenue,Operations / General Mgmt,People / HR,Technology / Engineering,Product,Supply Chain / Logistics,Legal / Compliance,Data / Analytics"</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showDropDown="0" showInputMessage="0" showErrorMessage="0" allowBlank="0" type="list">
      <formula1>"Common,Unique"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2026-03-26T05:39:40Z</dcterms:created>
  <dcterms:modified xmlns:dcterms="http://purl.org/dc/terms/" xmlns:xsi="http://www.w3.org/2001/XMLSchema-instance" xsi:type="dcterms:W3CDTF">2026-03-26T05:39:40Z</dcterms:modified>
</cp:coreProperties>
</file>